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D764ED96-B543-42F9-81DA-615C33DABB0E}" xr6:coauthVersionLast="47" xr6:coauthVersionMax="47" xr10:uidLastSave="{00000000-0000-0000-0000-000000000000}"/>
  <bookViews>
    <workbookView xWindow="-108" yWindow="-108" windowWidth="23256" windowHeight="12456" tabRatio="621" activeTab="3" xr2:uid="{219893E3-E9AC-4615-93ED-6DC1CE59DAA8}"/>
  </bookViews>
  <sheets>
    <sheet name="RAW DATA" sheetId="1" r:id="rId1"/>
    <sheet name="Sheet1" sheetId="20" state="hidden" r:id="rId2"/>
    <sheet name="Sheet2" sheetId="21" state="hidden" r:id="rId3"/>
    <sheet name="CLEANED DATA" sheetId="2" r:id="rId4"/>
    <sheet name="1" sheetId="5" state="hidden" r:id="rId5"/>
    <sheet name="CHANGELOG" sheetId="3" r:id="rId6"/>
    <sheet name="CHARTS" sheetId="19" r:id="rId7"/>
    <sheet name="ANALYSIS" sheetId="17" r:id="rId8"/>
    <sheet name="DASHBOARD" sheetId="6" r:id="rId9"/>
    <sheet name="2" sheetId="7" state="hidden" r:id="rId10"/>
    <sheet name="3" sheetId="8" state="hidden" r:id="rId11"/>
    <sheet name="4" sheetId="9" state="hidden" r:id="rId12"/>
    <sheet name="5" sheetId="10" state="hidden" r:id="rId13"/>
    <sheet name="INSIGHTS" sheetId="4" r:id="rId14"/>
    <sheet name="6" sheetId="15" state="hidden" r:id="rId15"/>
    <sheet name="7" sheetId="16" state="hidden" r:id="rId16"/>
  </sheets>
  <definedNames>
    <definedName name="Slicer_doctor_id">#N/A</definedName>
    <definedName name="Slicer_Months__appointment_date">#N/A</definedName>
    <definedName name="Slicer_reason_for_visit">#N/A</definedName>
    <definedName name="Slicer_statu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7" l="1"/>
  <c r="L9" i="17"/>
  <c r="L7" i="17"/>
  <c r="L8" i="17"/>
  <c r="L6" i="17"/>
  <c r="K4" i="17"/>
  <c r="K3" i="17"/>
  <c r="K2" i="17"/>
  <c r="T2" i="2" a="1"/>
  <c r="T3" i="2" a="1"/>
  <c r="T4" i="2" a="1"/>
  <c r="T5" i="2" a="1"/>
  <c r="T6" i="2" a="1"/>
  <c r="T7" i="2" a="1"/>
  <c r="T8" i="2" a="1"/>
  <c r="T9" i="2" a="1"/>
  <c r="T10" i="2" a="1"/>
  <c r="T11" i="2" a="1"/>
  <c r="T12" i="2" a="1"/>
  <c r="T13" i="2" a="1"/>
  <c r="T14" i="2" a="1"/>
  <c r="T15" i="2" a="1"/>
  <c r="T16" i="2" a="1"/>
  <c r="T17" i="2" a="1"/>
  <c r="T18" i="2" a="1"/>
  <c r="T19" i="2" a="1"/>
  <c r="T20" i="2" a="1"/>
  <c r="T21" i="2" a="1"/>
  <c r="T22" i="2" a="1"/>
  <c r="T23" i="2" a="1"/>
  <c r="T24" i="2" a="1"/>
  <c r="T25" i="2" a="1"/>
  <c r="T26" i="2" a="1"/>
  <c r="T27" i="2" a="1"/>
  <c r="T28" i="2" a="1"/>
  <c r="T29" i="2" a="1"/>
  <c r="T30" i="2" a="1"/>
  <c r="T31" i="2" a="1"/>
  <c r="T32" i="2" a="1"/>
  <c r="T33" i="2" a="1"/>
  <c r="T34" i="2" a="1"/>
  <c r="T35" i="2" a="1"/>
  <c r="T36" i="2" a="1"/>
  <c r="T37" i="2" a="1"/>
  <c r="T38" i="2" a="1"/>
  <c r="T39" i="2" a="1"/>
  <c r="T40" i="2" a="1"/>
  <c r="T41" i="2" a="1"/>
  <c r="T42" i="2" a="1"/>
  <c r="T43" i="2" a="1"/>
  <c r="T44" i="2" a="1"/>
  <c r="T45" i="2" a="1"/>
  <c r="T46" i="2" a="1"/>
  <c r="T47" i="2" a="1"/>
  <c r="T48" i="2" a="1"/>
  <c r="T49" i="2" a="1"/>
  <c r="T50" i="2" a="1"/>
  <c r="T51" i="2" a="1"/>
  <c r="T52" i="2" a="1"/>
  <c r="T53" i="2" a="1"/>
  <c r="T54" i="2" a="1"/>
  <c r="T55" i="2" a="1"/>
  <c r="T56" i="2" a="1"/>
  <c r="T57" i="2" a="1"/>
  <c r="T58" i="2" a="1"/>
  <c r="T59" i="2" a="1"/>
  <c r="T60" i="2" a="1"/>
  <c r="T61" i="2" a="1"/>
  <c r="T62" i="2" a="1"/>
  <c r="T63" i="2" a="1"/>
  <c r="T64" i="2" a="1"/>
  <c r="T65" i="2" a="1"/>
  <c r="T66" i="2" a="1"/>
  <c r="T67" i="2" a="1"/>
  <c r="T68" i="2" a="1"/>
  <c r="T69" i="2" a="1"/>
  <c r="T70" i="2" a="1"/>
  <c r="T71" i="2" a="1"/>
  <c r="T72" i="2" a="1"/>
  <c r="T73" i="2" a="1"/>
  <c r="T74" i="2" a="1"/>
  <c r="T75" i="2" a="1"/>
  <c r="T76" i="2" a="1"/>
  <c r="T77" i="2" a="1"/>
  <c r="T78" i="2" a="1"/>
  <c r="T79" i="2" a="1"/>
  <c r="T80" i="2" a="1"/>
  <c r="T81" i="2" a="1"/>
  <c r="T82" i="2" a="1"/>
  <c r="T83" i="2" a="1"/>
  <c r="T84" i="2" a="1"/>
  <c r="T85" i="2" a="1"/>
  <c r="T86" i="2" a="1"/>
  <c r="T87" i="2" a="1"/>
  <c r="T88" i="2" a="1"/>
  <c r="T89" i="2" a="1"/>
  <c r="T90" i="2" a="1"/>
  <c r="T91" i="2" a="1"/>
  <c r="T92" i="2" a="1"/>
  <c r="T93" i="2" a="1"/>
  <c r="T94" i="2" a="1"/>
  <c r="T95" i="2" a="1"/>
  <c r="T96" i="2" a="1"/>
  <c r="T97" i="2" a="1"/>
  <c r="T98" i="2" a="1"/>
  <c r="T99" i="2" a="1"/>
  <c r="T100" i="2" a="1"/>
  <c r="T101" i="2" a="1"/>
  <c r="T102" i="2" a="1"/>
  <c r="T103" i="2" a="1"/>
  <c r="T104" i="2" a="1"/>
  <c r="T105" i="2" a="1"/>
  <c r="T106" i="2" a="1"/>
  <c r="T107" i="2" a="1"/>
  <c r="T108" i="2" a="1"/>
  <c r="T109" i="2" a="1"/>
  <c r="T110" i="2" a="1"/>
  <c r="T111" i="2" a="1"/>
  <c r="T112" i="2" a="1"/>
  <c r="T113" i="2" a="1"/>
  <c r="T114" i="2" a="1"/>
  <c r="T115" i="2" a="1"/>
  <c r="T116" i="2" a="1"/>
  <c r="T117" i="2" a="1"/>
  <c r="T118" i="2" a="1"/>
  <c r="T119" i="2" a="1"/>
  <c r="T120" i="2" a="1"/>
  <c r="T121" i="2" a="1"/>
  <c r="T122" i="2" a="1"/>
  <c r="T123" i="2" a="1"/>
  <c r="T124" i="2" a="1"/>
  <c r="T125" i="2" a="1"/>
  <c r="T126" i="2" a="1"/>
  <c r="T127" i="2" a="1"/>
  <c r="T128" i="2" a="1"/>
  <c r="T129" i="2" a="1"/>
  <c r="T130" i="2" a="1"/>
  <c r="T131" i="2" a="1"/>
  <c r="T132" i="2" a="1"/>
  <c r="T133" i="2" a="1"/>
  <c r="T134" i="2" a="1"/>
  <c r="T135" i="2" a="1"/>
  <c r="T136" i="2" a="1"/>
  <c r="T137" i="2" a="1"/>
  <c r="T138" i="2" a="1"/>
  <c r="T139" i="2" a="1"/>
  <c r="T140" i="2" a="1"/>
  <c r="T141" i="2" a="1"/>
  <c r="T142" i="2" a="1"/>
  <c r="T143" i="2" a="1"/>
  <c r="T144" i="2" a="1"/>
  <c r="T145" i="2" a="1"/>
  <c r="T146" i="2" a="1"/>
  <c r="T147" i="2" a="1"/>
  <c r="T148" i="2" a="1"/>
  <c r="T149" i="2" a="1"/>
  <c r="T150" i="2" a="1"/>
  <c r="T151" i="2" a="1"/>
  <c r="T152" i="2" a="1"/>
  <c r="T153" i="2" a="1"/>
  <c r="T154" i="2" a="1"/>
  <c r="T155" i="2" a="1"/>
  <c r="T156" i="2" a="1"/>
  <c r="T157" i="2" a="1"/>
  <c r="T158" i="2" a="1"/>
  <c r="T159" i="2" a="1"/>
  <c r="T160" i="2" a="1"/>
  <c r="T161" i="2" a="1"/>
  <c r="T162" i="2" a="1"/>
  <c r="T163" i="2" a="1"/>
  <c r="T164" i="2" a="1"/>
  <c r="T165" i="2" a="1"/>
  <c r="T166" i="2" a="1"/>
  <c r="T167" i="2" a="1"/>
  <c r="T168" i="2" a="1"/>
  <c r="T169" i="2" a="1"/>
  <c r="T170" i="2" a="1"/>
  <c r="T171" i="2" a="1"/>
  <c r="T172" i="2" a="1"/>
  <c r="T173" i="2" a="1"/>
  <c r="T174" i="2" a="1"/>
  <c r="T175" i="2" a="1"/>
  <c r="T176" i="2" a="1"/>
  <c r="T177" i="2" a="1"/>
  <c r="T178" i="2" a="1"/>
  <c r="T179" i="2" a="1"/>
  <c r="T180" i="2" a="1"/>
  <c r="T181" i="2" a="1"/>
  <c r="T182" i="2" a="1"/>
  <c r="T183" i="2" a="1"/>
  <c r="T184" i="2" a="1"/>
  <c r="T185" i="2" a="1"/>
  <c r="T186" i="2" a="1"/>
  <c r="T187" i="2" a="1"/>
  <c r="T188" i="2" a="1"/>
  <c r="T189" i="2" a="1"/>
  <c r="T190" i="2" a="1"/>
  <c r="T191" i="2" a="1"/>
  <c r="T192" i="2" a="1"/>
  <c r="T193" i="2" a="1"/>
  <c r="T194" i="2" a="1"/>
  <c r="T195" i="2" a="1"/>
  <c r="T196" i="2" a="1"/>
  <c r="T197" i="2" a="1"/>
  <c r="T198" i="2" a="1"/>
  <c r="T199" i="2" a="1"/>
  <c r="T200" i="2" a="1"/>
  <c r="T201" i="2" a="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<sst xmlns="http://schemas.openxmlformats.org/spreadsheetml/2006/main" count="4041" uniqueCount="487">
  <si>
    <t>appointment_id</t>
  </si>
  <si>
    <t>patient_id</t>
  </si>
  <si>
    <t>doctor_id</t>
  </si>
  <si>
    <t>appointment_date</t>
  </si>
  <si>
    <t>appointment_time</t>
  </si>
  <si>
    <t>reason_for_visit</t>
  </si>
  <si>
    <t>status</t>
  </si>
  <si>
    <t>A001</t>
  </si>
  <si>
    <t>P034</t>
  </si>
  <si>
    <t>D009</t>
  </si>
  <si>
    <t>Therapy</t>
  </si>
  <si>
    <t>Scheduled</t>
  </si>
  <si>
    <t>Alex</t>
  </si>
  <si>
    <t>Smith</t>
  </si>
  <si>
    <t>F</t>
  </si>
  <si>
    <t>321 Maple Dr</t>
  </si>
  <si>
    <t>WellnessCorp</t>
  </si>
  <si>
    <t>INS653880</t>
  </si>
  <si>
    <t>alex.smith@mail.com</t>
  </si>
  <si>
    <t>A002</t>
  </si>
  <si>
    <t>P032</t>
  </si>
  <si>
    <t>D004</t>
  </si>
  <si>
    <t>No-show</t>
  </si>
  <si>
    <t>Moore</t>
  </si>
  <si>
    <t>M</t>
  </si>
  <si>
    <t>123 Elm St</t>
  </si>
  <si>
    <t>MedCare Plus</t>
  </si>
  <si>
    <t>INS335362</t>
  </si>
  <si>
    <t>alex.moore@mail.com</t>
  </si>
  <si>
    <t>A003</t>
  </si>
  <si>
    <t>P048</t>
  </si>
  <si>
    <t>Consultation</t>
  </si>
  <si>
    <t>Cancelled</t>
  </si>
  <si>
    <t>Emily</t>
  </si>
  <si>
    <t>Miller</t>
  </si>
  <si>
    <t>PulseSecure</t>
  </si>
  <si>
    <t>INS694319</t>
  </si>
  <si>
    <t>emily.miller@mail.com</t>
  </si>
  <si>
    <t>A004</t>
  </si>
  <si>
    <t>P025</t>
  </si>
  <si>
    <t>D006</t>
  </si>
  <si>
    <t>Robert</t>
  </si>
  <si>
    <t>Wilson</t>
  </si>
  <si>
    <t>HealthIndia</t>
  </si>
  <si>
    <t>INS833429</t>
  </si>
  <si>
    <t>robert.wilson@mail.com</t>
  </si>
  <si>
    <t>A005</t>
  </si>
  <si>
    <t>P040</t>
  </si>
  <si>
    <t>D003</t>
  </si>
  <si>
    <t>Emergency</t>
  </si>
  <si>
    <t>Williams</t>
  </si>
  <si>
    <t>456 Oak Ave</t>
  </si>
  <si>
    <t>INS320984</t>
  </si>
  <si>
    <t>emily.williams@mail.com</t>
  </si>
  <si>
    <t>A006</t>
  </si>
  <si>
    <t>P045</t>
  </si>
  <si>
    <t>Checkup</t>
  </si>
  <si>
    <t>Linda</t>
  </si>
  <si>
    <t>INS701863</t>
  </si>
  <si>
    <t>linda.miller@mail.com</t>
  </si>
  <si>
    <t>A007</t>
  </si>
  <si>
    <t>P001</t>
  </si>
  <si>
    <t>D007</t>
  </si>
  <si>
    <t>David</t>
  </si>
  <si>
    <t>789 Pine Rd</t>
  </si>
  <si>
    <t>INS840674</t>
  </si>
  <si>
    <t>david.williams@mail.com</t>
  </si>
  <si>
    <t>A008</t>
  </si>
  <si>
    <t>P016</t>
  </si>
  <si>
    <t>D010</t>
  </si>
  <si>
    <t>Michael</t>
  </si>
  <si>
    <t>Taylor</t>
  </si>
  <si>
    <t>INS156958</t>
  </si>
  <si>
    <t>michael.taylor@mail.com</t>
  </si>
  <si>
    <t>A009</t>
  </si>
  <si>
    <t>P039</t>
  </si>
  <si>
    <t>Follow-up</t>
  </si>
  <si>
    <t>Jane</t>
  </si>
  <si>
    <t>INS348710</t>
  </si>
  <si>
    <t>jane.wilson@mail.com</t>
  </si>
  <si>
    <t>A010</t>
  </si>
  <si>
    <t>P005</t>
  </si>
  <si>
    <t>Completed</t>
  </si>
  <si>
    <t>INS788105</t>
  </si>
  <si>
    <t>david.wilson@mail.com</t>
  </si>
  <si>
    <t>A011</t>
  </si>
  <si>
    <t>P022</t>
  </si>
  <si>
    <t>John</t>
  </si>
  <si>
    <t>Brown</t>
  </si>
  <si>
    <t>INS258823</t>
  </si>
  <si>
    <t>john.brown@mail.com</t>
  </si>
  <si>
    <t>A012</t>
  </si>
  <si>
    <t>P029</t>
  </si>
  <si>
    <t>INS630089</t>
  </si>
  <si>
    <t>david.smith@mail.com</t>
  </si>
  <si>
    <t>A013</t>
  </si>
  <si>
    <t>P003</t>
  </si>
  <si>
    <t>D002</t>
  </si>
  <si>
    <t>Laura</t>
  </si>
  <si>
    <t>Jones</t>
  </si>
  <si>
    <t>INS650929</t>
  </si>
  <si>
    <t>laura.jones@mail.com</t>
  </si>
  <si>
    <t>A014</t>
  </si>
  <si>
    <t>P012</t>
  </si>
  <si>
    <t>Davis</t>
  </si>
  <si>
    <t>INS104014</t>
  </si>
  <si>
    <t>laura.davis@mail.com</t>
  </si>
  <si>
    <t>A015</t>
  </si>
  <si>
    <t>P026</t>
  </si>
  <si>
    <t>INS598863</t>
  </si>
  <si>
    <t>john.taylor@mail.com</t>
  </si>
  <si>
    <t>A016</t>
  </si>
  <si>
    <t>D008</t>
  </si>
  <si>
    <t>A017</t>
  </si>
  <si>
    <t>P037</t>
  </si>
  <si>
    <t>INS319963</t>
  </si>
  <si>
    <t>robert.williams@mail.com</t>
  </si>
  <si>
    <t>A018</t>
  </si>
  <si>
    <t>A019</t>
  </si>
  <si>
    <t>D001</t>
  </si>
  <si>
    <t>A020</t>
  </si>
  <si>
    <t>P014</t>
  </si>
  <si>
    <t>INS118070</t>
  </si>
  <si>
    <t>alex.taylor@mail.com</t>
  </si>
  <si>
    <t>A021</t>
  </si>
  <si>
    <t>P028</t>
  </si>
  <si>
    <t>INS679036</t>
  </si>
  <si>
    <t>A022</t>
  </si>
  <si>
    <t>A023</t>
  </si>
  <si>
    <t>P047</t>
  </si>
  <si>
    <t>INS337549</t>
  </si>
  <si>
    <t>jane.moore@mail.com</t>
  </si>
  <si>
    <t>A024</t>
  </si>
  <si>
    <t>P049</t>
  </si>
  <si>
    <t>INS584299</t>
  </si>
  <si>
    <t>david.moore@mail.com</t>
  </si>
  <si>
    <t>A025</t>
  </si>
  <si>
    <t>P030</t>
  </si>
  <si>
    <t>INS250262</t>
  </si>
  <si>
    <t>emily.moore@mail.com</t>
  </si>
  <si>
    <t>A026</t>
  </si>
  <si>
    <t>P046</t>
  </si>
  <si>
    <t>INS368799</t>
  </si>
  <si>
    <t>A027</t>
  </si>
  <si>
    <t>D005</t>
  </si>
  <si>
    <t>A028</t>
  </si>
  <si>
    <t>A029</t>
  </si>
  <si>
    <t>A030</t>
  </si>
  <si>
    <t>A031</t>
  </si>
  <si>
    <t>A032</t>
  </si>
  <si>
    <t>A033</t>
  </si>
  <si>
    <t>P021</t>
  </si>
  <si>
    <t>INS297392</t>
  </si>
  <si>
    <t>michael.wilson@mail.com</t>
  </si>
  <si>
    <t>A034</t>
  </si>
  <si>
    <t>A035</t>
  </si>
  <si>
    <t>P036</t>
  </si>
  <si>
    <t>INS764076</t>
  </si>
  <si>
    <t>A036</t>
  </si>
  <si>
    <t>P033</t>
  </si>
  <si>
    <t>INS544209</t>
  </si>
  <si>
    <t>A037</t>
  </si>
  <si>
    <t>A038</t>
  </si>
  <si>
    <t>A039</t>
  </si>
  <si>
    <t>P023</t>
  </si>
  <si>
    <t>Johnson</t>
  </si>
  <si>
    <t>INS730152</t>
  </si>
  <si>
    <t>linda.johnson@mail.com</t>
  </si>
  <si>
    <t>A040</t>
  </si>
  <si>
    <t>P010</t>
  </si>
  <si>
    <t>INS866577</t>
  </si>
  <si>
    <t>A041</t>
  </si>
  <si>
    <t>A042</t>
  </si>
  <si>
    <t>A043</t>
  </si>
  <si>
    <t>A044</t>
  </si>
  <si>
    <t>P031</t>
  </si>
  <si>
    <t>INS542905</t>
  </si>
  <si>
    <t>robert.miller@mail.com</t>
  </si>
  <si>
    <t>A045</t>
  </si>
  <si>
    <t>A046</t>
  </si>
  <si>
    <t>P019</t>
  </si>
  <si>
    <t>Sarah</t>
  </si>
  <si>
    <t>INS855073</t>
  </si>
  <si>
    <t>sarah.miller@mail.com</t>
  </si>
  <si>
    <t>A047</t>
  </si>
  <si>
    <t>A048</t>
  </si>
  <si>
    <t>A049</t>
  </si>
  <si>
    <t>A050</t>
  </si>
  <si>
    <t>A051</t>
  </si>
  <si>
    <t>P004</t>
  </si>
  <si>
    <t>INS789944</t>
  </si>
  <si>
    <t>michael.johnson@mail.com</t>
  </si>
  <si>
    <t>A052</t>
  </si>
  <si>
    <t>A053</t>
  </si>
  <si>
    <t>P024</t>
  </si>
  <si>
    <t>INS493002</t>
  </si>
  <si>
    <t>sarah.brown@mail.com</t>
  </si>
  <si>
    <t>A054</t>
  </si>
  <si>
    <t>A055</t>
  </si>
  <si>
    <t>P002</t>
  </si>
  <si>
    <t>INS354079</t>
  </si>
  <si>
    <t>emily.smith@mail.com</t>
  </si>
  <si>
    <t>A056</t>
  </si>
  <si>
    <t>A057</t>
  </si>
  <si>
    <t>A058</t>
  </si>
  <si>
    <t>A059</t>
  </si>
  <si>
    <t>P027</t>
  </si>
  <si>
    <t>INS467654</t>
  </si>
  <si>
    <t>linda.moore@mail.com</t>
  </si>
  <si>
    <t>A060</t>
  </si>
  <si>
    <t>P020</t>
  </si>
  <si>
    <t>INS276089</t>
  </si>
  <si>
    <t>A061</t>
  </si>
  <si>
    <t>A062</t>
  </si>
  <si>
    <t>A063</t>
  </si>
  <si>
    <t>P050</t>
  </si>
  <si>
    <t>INS712210</t>
  </si>
  <si>
    <t>laura.wilson@mail.com</t>
  </si>
  <si>
    <t>A064</t>
  </si>
  <si>
    <t>P035</t>
  </si>
  <si>
    <t>INS897079</t>
  </si>
  <si>
    <t>A065</t>
  </si>
  <si>
    <t>A066</t>
  </si>
  <si>
    <t>A067</t>
  </si>
  <si>
    <t>P043</t>
  </si>
  <si>
    <t>INS882355</t>
  </si>
  <si>
    <t>linda.brown@mail.com</t>
  </si>
  <si>
    <t>A068</t>
  </si>
  <si>
    <t>A069</t>
  </si>
  <si>
    <t>A070</t>
  </si>
  <si>
    <t>A071</t>
  </si>
  <si>
    <t>A072</t>
  </si>
  <si>
    <t>A073</t>
  </si>
  <si>
    <t>A074</t>
  </si>
  <si>
    <t>A075</t>
  </si>
  <si>
    <t>A076</t>
  </si>
  <si>
    <t>P044</t>
  </si>
  <si>
    <t>INS364512</t>
  </si>
  <si>
    <t>robert.taylor@mail.com</t>
  </si>
  <si>
    <t>A077</t>
  </si>
  <si>
    <t>A078</t>
  </si>
  <si>
    <t>P013</t>
  </si>
  <si>
    <t>INS373237</t>
  </si>
  <si>
    <t>laura.johnson@mail.com</t>
  </si>
  <si>
    <t>A079</t>
  </si>
  <si>
    <t>A080</t>
  </si>
  <si>
    <t>A081</t>
  </si>
  <si>
    <t>A082</t>
  </si>
  <si>
    <t>A083</t>
  </si>
  <si>
    <t>A084</t>
  </si>
  <si>
    <t>A085</t>
  </si>
  <si>
    <t>A086</t>
  </si>
  <si>
    <t>P017</t>
  </si>
  <si>
    <t>INS182074</t>
  </si>
  <si>
    <t>jane.jones@mail.com</t>
  </si>
  <si>
    <t>A087</t>
  </si>
  <si>
    <t>A088</t>
  </si>
  <si>
    <t>P008</t>
  </si>
  <si>
    <t>INS545101</t>
  </si>
  <si>
    <t>david.davis@mail.com</t>
  </si>
  <si>
    <t>A089</t>
  </si>
  <si>
    <t>A090</t>
  </si>
  <si>
    <t>A091</t>
  </si>
  <si>
    <t>A092</t>
  </si>
  <si>
    <t>A093</t>
  </si>
  <si>
    <t>A094</t>
  </si>
  <si>
    <t>P041</t>
  </si>
  <si>
    <t>INS997059</t>
  </si>
  <si>
    <t>A095</t>
  </si>
  <si>
    <t>P007</t>
  </si>
  <si>
    <t>INS465890</t>
  </si>
  <si>
    <t>alex.johnson@mail.com</t>
  </si>
  <si>
    <t>A096</t>
  </si>
  <si>
    <t>A097</t>
  </si>
  <si>
    <t>A098</t>
  </si>
  <si>
    <t>A099</t>
  </si>
  <si>
    <t>P011</t>
  </si>
  <si>
    <t>INS172991</t>
  </si>
  <si>
    <t>emily.jones@mail.com</t>
  </si>
  <si>
    <t>A100</t>
  </si>
  <si>
    <t>A101</t>
  </si>
  <si>
    <t>A102</t>
  </si>
  <si>
    <t>A103</t>
  </si>
  <si>
    <t>A104</t>
  </si>
  <si>
    <t>A105</t>
  </si>
  <si>
    <t>A106</t>
  </si>
  <si>
    <t>A107</t>
  </si>
  <si>
    <t>P009</t>
  </si>
  <si>
    <t>INS136631</t>
  </si>
  <si>
    <t>A108</t>
  </si>
  <si>
    <t>A109</t>
  </si>
  <si>
    <t>A110</t>
  </si>
  <si>
    <t>A111</t>
  </si>
  <si>
    <t>A112</t>
  </si>
  <si>
    <t>A113</t>
  </si>
  <si>
    <t>A114</t>
  </si>
  <si>
    <t>P018</t>
  </si>
  <si>
    <t>INS635017</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</si>
  <si>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</si>
  <si>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</si>
  <si>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</si>
  <si>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</si>
  <si>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</si>
  <si>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</si>
  <si>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</si>
  <si>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</si>
  <si>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</si>
  <si>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</si>
  <si>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</si>
  <si>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</si>
  <si>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</si>
  <si>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</si>
  <si>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</si>
  <si>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</si>
  <si>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</si>
  <si>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</si>
  <si>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</si>
  <si>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</si>
  <si>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</si>
  <si>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</si>
  <si>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</si>
  <si>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</si>
  <si>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</si>
  <si>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</si>
  <si>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</si>
  <si>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</si>
  <si>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</si>
  <si>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</si>
  <si>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</si>
  <si>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</si>
  <si>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</si>
  <si>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</si>
  <si>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</si>
  <si>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</si>
  <si>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</si>
  <si>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</si>
  <si>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</si>
  <si>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</si>
  <si>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</si>
  <si>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</si>
  <si>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</si>
  <si>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</si>
  <si>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</si>
  <si>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</si>
  <si>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</si>
  <si>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</si>
  <si>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</si>
  <si>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INS956748</t>
  </si>
  <si>
    <t>jane.smith@mail.com</t>
  </si>
  <si>
    <t>A163</t>
  </si>
  <si>
    <t>A164</t>
  </si>
  <si>
    <t>A165</t>
  </si>
  <si>
    <t>A166</t>
  </si>
  <si>
    <t>A167</t>
  </si>
  <si>
    <t>A168</t>
  </si>
  <si>
    <t>A169</t>
  </si>
  <si>
    <t>A170</t>
  </si>
  <si>
    <t>A171</t>
  </si>
  <si>
    <t>A172</t>
  </si>
  <si>
    <t>A173</t>
  </si>
  <si>
    <t>A174</t>
  </si>
  <si>
    <t>A175</t>
  </si>
  <si>
    <t>A176</t>
  </si>
  <si>
    <t>A177</t>
  </si>
  <si>
    <t>A178</t>
  </si>
  <si>
    <t>A179</t>
  </si>
  <si>
    <t>P038</t>
  </si>
  <si>
    <t>INS580761</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</si>
  <si>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</si>
  <si>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</si>
  <si>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</si>
  <si>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</si>
  <si>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</si>
  <si>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</si>
  <si>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</si>
  <si>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</si>
  <si>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</si>
  <si>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</si>
  <si>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</si>
  <si>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</si>
  <si>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</si>
  <si>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</si>
  <si>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</si>
  <si>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</si>
  <si>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</si>
  <si>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</si>
  <si>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</si>
  <si>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</si>
  <si>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</si>
  <si>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first_name</t>
  </si>
  <si>
    <t>last_name</t>
  </si>
  <si>
    <t>gender</t>
  </si>
  <si>
    <t>date_of_birth</t>
  </si>
  <si>
    <t>contact_number</t>
  </si>
  <si>
    <t>address</t>
  </si>
  <si>
    <t>registration_date</t>
  </si>
  <si>
    <t>insurance_provider</t>
  </si>
  <si>
    <t>insurance_number</t>
  </si>
  <si>
    <t>email</t>
  </si>
  <si>
    <t>P006</t>
  </si>
  <si>
    <t>INS613758</t>
  </si>
  <si>
    <t>linda.jones@mail.com</t>
  </si>
  <si>
    <t>P015</t>
  </si>
  <si>
    <t>INS922209</t>
  </si>
  <si>
    <t>sarah.johnson@mail.com</t>
  </si>
  <si>
    <t>CHANGELOG</t>
  </si>
  <si>
    <t>full_name</t>
  </si>
  <si>
    <t>age</t>
  </si>
  <si>
    <t>1.All blank values were checked. No blanks found.</t>
  </si>
  <si>
    <t>2.All missing values were checked. No missing values found.</t>
  </si>
  <si>
    <t>3.All duplicate values were checked. No duplicate found.</t>
  </si>
  <si>
    <t>4.Date formats were checked and standardized.</t>
  </si>
  <si>
    <t>5.Full Name column was added.</t>
  </si>
  <si>
    <t>6.Age column was calculated and added.</t>
  </si>
  <si>
    <t>DASHBOARD QUESTIONS</t>
  </si>
  <si>
    <t>1.How many total appointments were scheduled?</t>
  </si>
  <si>
    <t>2.What is the appointment status distribution?</t>
  </si>
  <si>
    <t>3.Which reason for visit has the highest number of appointments?</t>
  </si>
  <si>
    <t>4.Which doctors have the highest number of appointments?</t>
  </si>
  <si>
    <t>5.How do appointments vary by month?</t>
  </si>
  <si>
    <t>EXCELL QUESTIONS</t>
  </si>
  <si>
    <t>1.How many total appointments are there?</t>
  </si>
  <si>
    <t>2.How many appointments are completed?</t>
  </si>
  <si>
    <t>3.What is the average patient age?</t>
  </si>
  <si>
    <t>4.What is the maximum patient age?</t>
  </si>
  <si>
    <t>5.what is the total number of appointments by status?</t>
  </si>
  <si>
    <t>6.what is theminimum patient age?</t>
  </si>
  <si>
    <t>Row Labels</t>
  </si>
  <si>
    <t>Grand Total</t>
  </si>
  <si>
    <t>Count of appointment_id</t>
  </si>
  <si>
    <t>DASHBOARD</t>
  </si>
  <si>
    <t>Jan</t>
  </si>
  <si>
    <t>Feb</t>
  </si>
  <si>
    <t>Mar</t>
  </si>
  <si>
    <t>Apr</t>
  </si>
  <si>
    <t>May</t>
  </si>
  <si>
    <t>Jun</t>
  </si>
  <si>
    <t>Jul</t>
  </si>
  <si>
    <t>Aug</t>
  </si>
  <si>
    <t>Sep</t>
  </si>
  <si>
    <t>Oct</t>
  </si>
  <si>
    <t>Nov</t>
  </si>
  <si>
    <t>Dec</t>
  </si>
  <si>
    <t>6.What is the age group distribution of patients?</t>
  </si>
  <si>
    <t>age group</t>
  </si>
  <si>
    <t>7.Which insurance company provide highest ?</t>
  </si>
  <si>
    <t>Count of patient_id</t>
  </si>
  <si>
    <t>PIVOT TABLES</t>
  </si>
  <si>
    <t>CALCULATIONS</t>
  </si>
  <si>
    <t>6.what is the minimum patient age?</t>
  </si>
  <si>
    <t>CHART</t>
  </si>
  <si>
    <t>INSIGHTS AND RECOMMENDATION</t>
  </si>
  <si>
    <t>1. Appointment completion is low</t>
  </si>
  <si>
    <r>
      <t xml:space="preserve">Out of </t>
    </r>
    <r>
      <rPr>
        <b/>
        <sz val="11"/>
        <color theme="1"/>
        <rFont val="Aptos Narrow"/>
        <family val="2"/>
        <scheme val="minor"/>
      </rPr>
      <t>200 appointments</t>
    </r>
    <r>
      <rPr>
        <sz val="11"/>
        <color theme="1"/>
        <rFont val="Aptos Narrow"/>
        <family val="2"/>
        <scheme val="minor"/>
      </rPr>
      <t xml:space="preserve">, only </t>
    </r>
    <r>
      <rPr>
        <b/>
        <sz val="11"/>
        <color theme="1"/>
        <rFont val="Aptos Narrow"/>
        <family val="2"/>
        <scheme val="minor"/>
      </rPr>
      <t>46 appointments were completed (23%)</t>
    </r>
    <r>
      <rPr>
        <sz val="11"/>
        <color theme="1"/>
        <rFont val="Aptos Narrow"/>
        <family val="2"/>
        <scheme val="minor"/>
      </rPr>
      <t xml:space="preserve">. At the same time, cancelled and no-show appointments together account for about </t>
    </r>
    <r>
      <rPr>
        <b/>
        <sz val="11"/>
        <color theme="1"/>
        <rFont val="Aptos Narrow"/>
        <family val="2"/>
        <scheme val="minor"/>
      </rPr>
      <t>51%</t>
    </r>
    <r>
      <rPr>
        <sz val="11"/>
        <color theme="1"/>
        <rFont val="Aptos Narrow"/>
        <family val="2"/>
        <scheme val="minor"/>
      </rPr>
      <t>.</t>
    </r>
  </si>
  <si>
    <t>“The hospital should focus on reducing cancellations and patient no-shows by using appointment reminders, confirmation calls, and easy rescheduling options.”</t>
  </si>
  <si>
    <t>Insigts:</t>
  </si>
  <si>
    <t>2. No-show appointments are a major concern</t>
  </si>
  <si>
    <r>
      <t xml:space="preserve">Approximately </t>
    </r>
    <r>
      <rPr>
        <b/>
        <sz val="11"/>
        <color theme="1"/>
        <rFont val="Aptos Narrow"/>
        <family val="2"/>
        <scheme val="minor"/>
      </rPr>
      <t>26% of appointments are no-shows</t>
    </r>
    <r>
      <rPr>
        <sz val="11"/>
        <color theme="1"/>
        <rFont val="Aptos Narrow"/>
        <family val="2"/>
        <scheme val="minor"/>
      </rPr>
      <t>, which is higher than the completed appointments percentage.</t>
    </r>
  </si>
  <si>
    <t>Recommendation:</t>
  </si>
  <si>
    <t>Send SMS/WhatsApp reminders.</t>
  </si>
  <si>
    <t>Confirm appointments one day before.</t>
  </si>
  <si>
    <t>Allow patients to easily reschedule.</t>
  </si>
  <si>
    <t>Track patients with repeated no-shows.</t>
  </si>
  <si>
    <t>3. Check-up is the most common reason for visit</t>
  </si>
  <si>
    <t>Check-up is the highest-demand service, while emergency visits are the lowest.</t>
  </si>
  <si>
    <t>“The hospital can allocate more resources and appointment slots for routine check-ups because they have the highest demand.”</t>
  </si>
  <si>
    <t>4. Doctor workload is different</t>
  </si>
  <si>
    <t>D005 has the highest number of appointments, while some doctors have considerably fewer.</t>
  </si>
  <si>
    <t>“The hospital can monitor doctor workload and distribute appointments more effectively to avoid overloading some doctors while others have available capacity.”</t>
  </si>
  <si>
    <t>5. Appointment trend has declined after April</t>
  </si>
  <si>
    <r>
      <t xml:space="preserve">April had the </t>
    </r>
    <r>
      <rPr>
        <b/>
        <sz val="11"/>
        <color theme="1"/>
        <rFont val="Aptos Narrow"/>
        <family val="2"/>
        <scheme val="minor"/>
      </rPr>
      <t>highest number of appointments (25)</t>
    </r>
    <r>
      <rPr>
        <sz val="11"/>
        <color theme="1"/>
        <rFont val="Aptos Narrow"/>
        <family val="2"/>
        <scheme val="minor"/>
      </rPr>
      <t xml:space="preserve">, while September had the </t>
    </r>
    <r>
      <rPr>
        <b/>
        <sz val="11"/>
        <color theme="1"/>
        <rFont val="Aptos Narrow"/>
        <family val="2"/>
        <scheme val="minor"/>
      </rPr>
      <t>lowest (11)</t>
    </r>
    <r>
      <rPr>
        <sz val="11"/>
        <color theme="1"/>
        <rFont val="Aptos Narrow"/>
        <family val="2"/>
        <scheme val="minor"/>
      </rPr>
      <t>. There is a noticeable decline after April.</t>
    </r>
  </si>
  <si>
    <t>The hospital should investigate why appointment volume decreased after April and consider targeted promotions, follow-up campaigns, or patient engagement strategies.”</t>
  </si>
  <si>
    <t>6. MedCare Plus is the leading insurance provider</t>
  </si>
  <si>
    <t>MedCare Plus accounts for the largest share of insured patients.</t>
  </si>
  <si>
    <t>“The hospital can strengthen its relationship with the most-used insurance provider while also exploring opportunities to increase coverage from other providers.”</t>
  </si>
  <si>
    <r>
      <t>1.</t>
    </r>
    <r>
      <rPr>
        <sz val="11"/>
        <color theme="1"/>
        <rFont val="Aptos Narrow"/>
        <family val="2"/>
        <scheme val="minor"/>
      </rPr>
      <t xml:space="preserve"> Out of 200 appointments, only 46 were completed, while cancellations and no-shows are significantly high.</t>
    </r>
  </si>
  <si>
    <r>
      <t>2.</t>
    </r>
    <r>
      <rPr>
        <sz val="11"/>
        <color theme="1"/>
        <rFont val="Aptos Narrow"/>
        <family val="2"/>
        <scheme val="minor"/>
      </rPr>
      <t xml:space="preserve"> No-shows are a major issue, so the hospital should improve appointment reminders and confirmation.</t>
    </r>
  </si>
  <si>
    <r>
      <t>3.</t>
    </r>
    <r>
      <rPr>
        <sz val="11"/>
        <color theme="1"/>
        <rFont val="Aptos Narrow"/>
        <family val="2"/>
        <scheme val="minor"/>
      </rPr>
      <t xml:space="preserve"> Check-up is the most common reason for visiting the hospital, with 45 appointments.</t>
    </r>
  </si>
  <si>
    <r>
      <t>4.</t>
    </r>
    <r>
      <rPr>
        <sz val="11"/>
        <color theme="1"/>
        <rFont val="Aptos Narrow"/>
        <family val="2"/>
        <scheme val="minor"/>
      </rPr>
      <t xml:space="preserve"> Doctor D005 has the highest number of appointments, so workload distribution should be monitored.</t>
    </r>
  </si>
  <si>
    <r>
      <t>5.</t>
    </r>
    <r>
      <rPr>
        <sz val="11"/>
        <color theme="1"/>
        <rFont val="Aptos Narrow"/>
        <family val="2"/>
        <scheme val="minor"/>
      </rPr>
      <t xml:space="preserve"> Appointments reached a peak of 25 in April but declined afterward, so the hospital should investigate the reason for this decrease.</t>
    </r>
  </si>
  <si>
    <t>7.Age group categories.</t>
  </si>
  <si>
    <t>8.Converted into an Excell table.</t>
  </si>
  <si>
    <t>=MAX(Table1[age])</t>
  </si>
  <si>
    <t>MIDDLE AGE</t>
  </si>
  <si>
    <t>SENIOR</t>
  </si>
  <si>
    <t>YOUNG ADULT</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</si>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</sst>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i/>
      <sz val="72"/>
      <color theme="1"/>
      <name val="Bahnschrift Condensed"/>
      <family val="2"/>
    </font>
    <font>
      <b/>
      <sz val="11"/>
      <color theme="1"/>
      <name val="Aptos Narrow"/>
      <family val="2"/>
      <scheme val="minor"/>
    </font>
    <font>
      <b/>
      <sz val="13.5"/>
      <color theme="1"/>
      <name val="Aptos Narrow"/>
      <family val="2"/>
      <scheme val="minor"/>
    </font>
    <font>
      <b/>
      <sz val="12"/>
      <color theme="1"/>
      <name val="Aptos Narrow"/>
      <family val="2"/>
      <scheme val="minor"/>
    </font>
    <font>
      <b/>
      <sz val="18"/>
      <color theme="1"/>
      <name val="Aptos Narrow"/>
      <family val="2"/>
      <scheme val="minor"/>
    </font>
  </fonts>
  <fills count="7">
    <fill>
      <patternFill patternType="none"/>
    </fill>
    <fill>
      <patternFill patternType="gray125"/>
    </fill>
    <fill>
      <patternFill patternType="solid">
        <fgColor theme="1" tint="0.499984740745262"/>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3" tint="0.249977111117893"/>
        <bgColor indexed="64"/>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14" fontId="0" fillId="0" borderId="0" xfId="0" applyNumberFormat="1"/>
    <xf numFmtId="21" fontId="0" fillId="0" borderId="0" xfId="0" applyNumberFormat="1"/>
    <xf numFmtId="49" fontId="0" fillId="0" borderId="0" xfId="0" applyNumberFormat="1"/>
    <xf numFmtId="0" fontId="0" fillId="0" borderId="0" xfId="0" applyAlignment="1">
      <alignment horizontal="left"/>
    </xf>
    <xf numFmtId="0" fontId="0" fillId="2" borderId="0" xfId="0" applyFill="1" applyAlignment="1">
      <alignment horizontal="center"/>
    </xf>
    <xf numFmtId="0" fontId="0" fillId="0" borderId="1" xfId="0" applyBorder="1"/>
    <xf numFmtId="14" fontId="0" fillId="0" borderId="1" xfId="0" applyNumberFormat="1" applyBorder="1"/>
    <xf numFmtId="21" fontId="0" fillId="0" borderId="1" xfId="0" applyNumberFormat="1" applyBorder="1"/>
    <xf numFmtId="0" fontId="0" fillId="0" borderId="0" xfId="0" pivotButton="1"/>
    <xf numFmtId="0" fontId="0" fillId="2" borderId="0" xfId="0" applyFill="1"/>
    <xf numFmtId="10" fontId="0" fillId="0" borderId="0" xfId="0" applyNumberFormat="1"/>
    <xf numFmtId="0" fontId="0" fillId="0" borderId="1" xfId="0" applyBorder="1" applyAlignment="1">
      <alignment horizontal="left"/>
    </xf>
    <xf numFmtId="0" fontId="0" fillId="6" borderId="0" xfId="0" applyFill="1"/>
    <xf numFmtId="0" fontId="3" fillId="0" borderId="0" xfId="0" applyFont="1" applyAlignment="1">
      <alignment vertical="center"/>
    </xf>
    <xf numFmtId="0" fontId="4" fillId="0" borderId="0" xfId="0" applyFont="1" applyAlignment="1">
      <alignment vertical="center"/>
    </xf>
    <xf numFmtId="0" fontId="4" fillId="0" borderId="0" xfId="0" applyFont="1"/>
    <xf numFmtId="0" fontId="0" fillId="0" borderId="0" xfId="0" applyAlignment="1">
      <alignment horizontal="left" vertical="center" indent="1"/>
    </xf>
    <xf numFmtId="0" fontId="0" fillId="6" borderId="0" xfId="0" applyFill="1" applyAlignment="1">
      <alignment horizontal="center"/>
    </xf>
    <xf numFmtId="0" fontId="1" fillId="5" borderId="0" xfId="0" applyFont="1" applyFill="1" applyAlignment="1">
      <alignment horizontal="center"/>
    </xf>
    <xf numFmtId="0" fontId="0" fillId="0" borderId="0" xfId="0" applyAlignment="1">
      <alignment horizontal="center"/>
    </xf>
    <xf numFmtId="0" fontId="5" fillId="2" borderId="0" xfId="0" applyFont="1" applyFill="1" applyAlignment="1">
      <alignment horizontal="center"/>
    </xf>
    <xf numFmtId="0" fontId="0" fillId="0" borderId="0" xfId="0" applyAlignment="1">
      <alignment horizontal="left"/>
    </xf>
    <xf numFmtId="0" fontId="2" fillId="3" borderId="0" xfId="0" applyFont="1" applyFill="1" applyAlignment="1">
      <alignment horizontal="center"/>
    </xf>
    <xf numFmtId="0" fontId="2" fillId="4" borderId="0" xfId="0" applyFont="1" applyFill="1" applyAlignment="1">
      <alignment horizontal="center"/>
    </xf>
    <xf numFmtId="0" fontId="0" fillId="2" borderId="0" xfId="0" applyFill="1" applyAlignment="1">
      <alignment horizontal="center"/>
    </xf>
    <xf numFmtId="0" fontId="1" fillId="3" borderId="0" xfId="0" applyFont="1" applyFill="1" applyAlignment="1">
      <alignment horizontal="center"/>
    </xf>
    <xf numFmtId="0" fontId="0" fillId="0" borderId="1" xfId="0" applyBorder="1" applyAlignment="1">
      <alignment horizontal="center"/>
    </xf>
    <xf numFmtId="0" fontId="2" fillId="0" borderId="1" xfId="0" applyFont="1" applyBorder="1" applyAlignment="1">
      <alignment horizontal="left"/>
    </xf>
    <xf numFmtId="0" fontId="0" fillId="3" borderId="0" xfId="0" applyFill="1" applyAlignment="1">
      <alignment horizontal="center"/>
    </xf>
    <xf numFmtId="0" fontId="3" fillId="2" borderId="0" xfId="0" applyFont="1" applyFill="1" applyAlignment="1">
      <alignment horizontal="left"/>
    </xf>
    <xf numFmtId="0" fontId="3" fillId="2" borderId="0" xfId="0" applyFont="1" applyFill="1" applyAlignment="1">
      <alignment horizontal="left" vertical="center"/>
    </xf>
    <xf numFmtId="0" fontId="0" fillId="0" borderId="0" xfId="0" applyNumberFormat="1"/>
  </cellXfs>
  <cellStyles count="1">
    <cellStyle name="Normal" xfId="0" builtinId="0"/>
  </cellStyles>
  <dxfs count="8">
    <dxf>
      <font>
        <b/>
        <i/>
        <sz val="12"/>
        <name val="Algerian"/>
        <family val="5"/>
        <scheme val="none"/>
      </font>
    </dxf>
    <dxf>
      <font>
        <b val="0"/>
        <i val="0"/>
        <sz val="11"/>
        <name val="Bahnschrift SemiLight Condensed"/>
        <family val="2"/>
        <scheme val="none"/>
      </font>
    </dxf>
    <dxf>
      <numFmt numFmtId="19" formatCode="dd/mm/yyyy"/>
    </dxf>
    <dxf>
      <numFmt numFmtId="19" formatCode="dd/mm/yyyy"/>
    </dxf>
    <dxf>
      <numFmt numFmtId="30" formatCode="@"/>
    </dxf>
    <dxf>
      <numFmt numFmtId="19" formatCode="dd/mm/yyyy"/>
    </dxf>
    <dxf>
      <numFmt numFmtId="26" formatCode="hh:mm:ss"/>
    </dxf>
    <dxf>
      <numFmt numFmtId="19" formatCode="dd/mm/yyyy"/>
    </dxf>
  </dxfs>
  <tableStyles count="1" defaultTableStyle="TableStyleMedium2" defaultPivotStyle="PivotStyleLight16">
    <tableStyle name="Slicer Style 1" pivot="0" table="0" count="4" xr9:uid="{94F3BCE0-2B72-4B19-AA2F-CE74E37C0488}">
      <tableStyleElement type="wholeTable" dxfId="1"/>
      <tableStyleElement type="headerRow" dxfId="0"/>
    </tableStyle>
  </tableStyles>
  <extLst>
    <ext xmlns:x14="http://schemas.microsoft.com/office/spreadsheetml/2009/9/main" uri="{46F421CA-312F-682f-3DD2-61675219B42D}">
      <x14:dxfs count="2">
        <dxf>
          <font>
            <color theme="4"/>
          </font>
        </dxf>
        <dxf>
          <font>
            <b val="0"/>
            <i val="0"/>
            <u/>
            <color theme="3"/>
            <name val="Aptos Display"/>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Cancelled</c:v>
                </c:pt>
                <c:pt idx="1">
                  <c:v>Completed</c:v>
                </c:pt>
                <c:pt idx="2">
                  <c:v>No-show</c:v>
                </c:pt>
                <c:pt idx="3">
                  <c:v>Scheduled</c:v>
                </c:pt>
              </c:strCache>
            </c:strRef>
          </c:cat>
          <c:val>
            <c:numRef>
              <c:f>Sheet1!$B$4:$B$8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0-5CEE-4A7F-88FB-B7F104DBEEB8}"/>
            </c:ext>
          </c:extLst>
        </c:ser>
        <c:dLbls>
          <c:showLegendKey val="0"/>
          <c:showVal val="0"/>
          <c:showCatName val="0"/>
          <c:showSerName val="0"/>
          <c:showPercent val="0"/>
          <c:showBubbleSize val="0"/>
        </c:dLbls>
        <c:gapWidth val="219"/>
        <c:overlap val="-27"/>
        <c:axId val="2053701344"/>
        <c:axId val="1704256816"/>
      </c:barChart>
      <c:catAx>
        <c:axId val="20537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56816"/>
        <c:crosses val="autoZero"/>
        <c:auto val="1"/>
        <c:lblAlgn val="ctr"/>
        <c:lblOffset val="100"/>
        <c:noMultiLvlLbl val="0"/>
      </c:catAx>
      <c:valAx>
        <c:axId val="170425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70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Sheet2!$B$4:$B$14</c:f>
              <c:numCache>
                <c:formatCode>General</c:formatCode>
                <c:ptCount val="10"/>
                <c:pt idx="0">
                  <c:v>25</c:v>
                </c:pt>
                <c:pt idx="1">
                  <c:v>21</c:v>
                </c:pt>
                <c:pt idx="2">
                  <c:v>22</c:v>
                </c:pt>
                <c:pt idx="3">
                  <c:v>14</c:v>
                </c:pt>
                <c:pt idx="4">
                  <c:v>29</c:v>
                </c:pt>
                <c:pt idx="5">
                  <c:v>24</c:v>
                </c:pt>
                <c:pt idx="6">
                  <c:v>13</c:v>
                </c:pt>
                <c:pt idx="7">
                  <c:v>16</c:v>
                </c:pt>
                <c:pt idx="8">
                  <c:v>17</c:v>
                </c:pt>
                <c:pt idx="9">
                  <c:v>19</c:v>
                </c:pt>
              </c:numCache>
            </c:numRef>
          </c:val>
          <c:extLst>
            <c:ext xmlns:c16="http://schemas.microsoft.com/office/drawing/2014/chart" uri="{C3380CC4-5D6E-409C-BE32-E72D297353CC}">
              <c16:uniqueId val="{00000000-4EEF-4B32-9A9A-54CD7266E527}"/>
            </c:ext>
          </c:extLst>
        </c:ser>
        <c:dLbls>
          <c:showLegendKey val="0"/>
          <c:showVal val="0"/>
          <c:showCatName val="0"/>
          <c:showSerName val="0"/>
          <c:showPercent val="0"/>
          <c:showBubbleSize val="0"/>
        </c:dLbls>
        <c:gapWidth val="150"/>
        <c:shape val="box"/>
        <c:axId val="2098558080"/>
        <c:axId val="1704293296"/>
        <c:axId val="0"/>
      </c:bar3DChart>
      <c:catAx>
        <c:axId val="209855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293296"/>
        <c:crosses val="autoZero"/>
        <c:auto val="1"/>
        <c:lblAlgn val="ctr"/>
        <c:lblOffset val="100"/>
        <c:noMultiLvlLbl val="0"/>
      </c:catAx>
      <c:valAx>
        <c:axId val="170429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55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'1'!$A$3</c:f>
              <c:strCache>
                <c:ptCount val="1"/>
                <c:pt idx="0">
                  <c:v>Total</c:v>
                </c:pt>
              </c:strCache>
            </c:strRef>
          </c:tx>
          <c:spPr>
            <a:solidFill>
              <a:schemeClr val="accent1"/>
            </a:solidFill>
            <a:ln>
              <a:noFill/>
            </a:ln>
            <a:effectLst/>
          </c:spPr>
          <c:invertIfNegative val="0"/>
          <c:cat>
            <c:strRef>
              <c:f>'1'!$A$4</c:f>
              <c:strCache>
                <c:ptCount val="1"/>
                <c:pt idx="0">
                  <c:v>Total</c:v>
                </c:pt>
              </c:strCache>
            </c:strRef>
          </c:cat>
          <c:val>
            <c:numRef>
              <c:f>'1'!$A$4</c:f>
              <c:numCache>
                <c:formatCode>General</c:formatCode>
                <c:ptCount val="1"/>
                <c:pt idx="0">
                  <c:v>200</c:v>
                </c:pt>
              </c:numCache>
            </c:numRef>
          </c:val>
          <c:extLst>
            <c:ext xmlns:c16="http://schemas.microsoft.com/office/drawing/2014/chart" uri="{C3380CC4-5D6E-409C-BE32-E72D297353CC}">
              <c16:uniqueId val="{00000000-4437-4A34-AAEA-B3FFCCE7D2B1}"/>
            </c:ext>
          </c:extLst>
        </c:ser>
        <c:dLbls>
          <c:showLegendKey val="0"/>
          <c:showVal val="0"/>
          <c:showCatName val="0"/>
          <c:showSerName val="0"/>
          <c:showPercent val="0"/>
          <c:showBubbleSize val="0"/>
        </c:dLbls>
        <c:gapWidth val="219"/>
        <c:overlap val="-27"/>
        <c:axId val="1554618015"/>
        <c:axId val="1441647791"/>
      </c:barChart>
      <c:catAx>
        <c:axId val="155461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647791"/>
        <c:crosses val="autoZero"/>
        <c:auto val="1"/>
        <c:lblAlgn val="ctr"/>
        <c:lblOffset val="100"/>
        <c:noMultiLvlLbl val="0"/>
      </c:catAx>
      <c:valAx>
        <c:axId val="144164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61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PROJECT.xlsx]1!PivotTable1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APPOINTMENTS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1426071741032"/>
          <c:y val="0.25402559055118112"/>
          <c:w val="0.77616426071741029"/>
          <c:h val="0.62968613298337706"/>
        </c:manualLayout>
      </c:layout>
      <c:barChart>
        <c:barDir val="col"/>
        <c:grouping val="clustered"/>
        <c:varyColors val="0"/>
        <c:ser>
          <c:idx val="0"/>
          <c:order val="0"/>
          <c:tx>
            <c:strRef>
              <c:f>'1'!$A$3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'1'!$A$4</c:f>
              <c:strCache>
                <c:ptCount val="1"/>
                <c:pt idx="0">
                  <c:v>Total</c:v>
                </c:pt>
              </c:strCache>
            </c:strRef>
          </c:cat>
          <c:val>
            <c:numRef>
              <c:f>'1'!$A$4</c:f>
              <c:numCache>
                <c:formatCode>General</c:formatCode>
                <c:ptCount val="1"/>
                <c:pt idx="0">
                  <c:v>200</c:v>
                </c:pt>
              </c:numCache>
            </c:numRef>
          </c:val>
          <c:extLst>
            <c:ext xmlns:c16="http://schemas.microsoft.com/office/drawing/2014/chart" uri="{C3380CC4-5D6E-409C-BE32-E72D297353CC}">
              <c16:uniqueId val="{00000000-0303-4322-97EE-556B6389525C}"/>
            </c:ext>
          </c:extLst>
        </c:ser>
        <c:dLbls>
          <c:dLblPos val="outEnd"/>
          <c:showLegendKey val="0"/>
          <c:showVal val="1"/>
          <c:showCatName val="0"/>
          <c:showSerName val="0"/>
          <c:showPercent val="0"/>
          <c:showBubbleSize val="0"/>
        </c:dLbls>
        <c:gapWidth val="315"/>
        <c:overlap val="-40"/>
        <c:axId val="1554618015"/>
        <c:axId val="1441647791"/>
      </c:barChart>
      <c:catAx>
        <c:axId val="155461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1647791"/>
        <c:crosses val="autoZero"/>
        <c:auto val="1"/>
        <c:lblAlgn val="ctr"/>
        <c:lblOffset val="100"/>
        <c:noMultiLvlLbl val="0"/>
      </c:catAx>
      <c:valAx>
        <c:axId val="1441647791"/>
        <c:scaling>
          <c:orientation val="minMax"/>
        </c:scaling>
        <c:delete val="1"/>
        <c:axPos val="l"/>
        <c:numFmt formatCode="General" sourceLinked="1"/>
        <c:majorTickMark val="none"/>
        <c:minorTickMark val="none"/>
        <c:tickLblPos val="nextTo"/>
        <c:crossAx val="155461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[EXCELL PROJECT.xlsx]2!PivotTable2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APPOINTMENT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'2'!$B$3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213-4822-B39B-389DAE6B72BB}"/>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213-4822-B39B-389DAE6B72BB}"/>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213-4822-B39B-389DAE6B72BB}"/>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213-4822-B39B-389DAE6B72BB}"/>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'2'!$A$4:$A$8</c:f>
              <c:strCache>
                <c:ptCount val="4"/>
                <c:pt idx="0">
                  <c:v>Cancelled</c:v>
                </c:pt>
                <c:pt idx="1">
                  <c:v>Completed</c:v>
                </c:pt>
                <c:pt idx="2">
                  <c:v>No-show</c:v>
                </c:pt>
                <c:pt idx="3">
                  <c:v>Scheduled</c:v>
                </c:pt>
              </c:strCache>
            </c:strRef>
          </c:cat>
          <c:val>
            <c:numRef>
              <c:f>'2'!$B$4:$B$8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8-4213-4822-B39B-389DAE6B72B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PROJECT.xlsx]3!PivotTable3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a:t>
            </a:r>
            <a:r>
              <a:rPr lang="en-US" baseline="0"/>
              <a:t> FOR VISIT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'3'!$A$4:$A$9</c:f>
              <c:strCache>
                <c:ptCount val="5"/>
                <c:pt idx="0">
                  <c:v>Checkup</c:v>
                </c:pt>
                <c:pt idx="1">
                  <c:v>Consultation</c:v>
                </c:pt>
                <c:pt idx="2">
                  <c:v>Emergency</c:v>
                </c:pt>
                <c:pt idx="3">
                  <c:v>Follow-up</c:v>
                </c:pt>
                <c:pt idx="4">
                  <c:v>Therapy</c:v>
                </c:pt>
              </c:strCache>
            </c:strRef>
          </c:cat>
          <c:val>
            <c:numRef>
              <c:f>'3'!$B$4:$B$9</c:f>
              <c:numCache>
                <c:formatCode>General</c:formatCode>
                <c:ptCount val="5"/>
                <c:pt idx="0">
                  <c:v>34</c:v>
                </c:pt>
                <c:pt idx="1">
                  <c:v>33</c:v>
                </c:pt>
                <c:pt idx="2">
                  <c:v>23</c:v>
                </c:pt>
                <c:pt idx="3">
                  <c:v>33</c:v>
                </c:pt>
                <c:pt idx="4">
                  <c:v>34</c:v>
                </c:pt>
              </c:numCache>
            </c:numRef>
          </c:val>
          <c:extLst>
            <c:ext xmlns:c16="http://schemas.microsoft.com/office/drawing/2014/chart" uri="{C3380CC4-5D6E-409C-BE32-E72D297353CC}">
              <c16:uniqueId val="{00000000-DAA6-49D1-ACBC-168F592E8937}"/>
            </c:ext>
          </c:extLst>
        </c:ser>
        <c:dLbls>
          <c:showLegendKey val="0"/>
          <c:showVal val="1"/>
          <c:showCatName val="0"/>
          <c:showSerName val="0"/>
          <c:showPercent val="0"/>
          <c:showBubbleSize val="0"/>
        </c:dLbls>
        <c:gapWidth val="150"/>
        <c:shape val="box"/>
        <c:axId val="1856746447"/>
        <c:axId val="1891090383"/>
        <c:axId val="0"/>
      </c:bar3DChart>
      <c:catAx>
        <c:axId val="1856746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090383"/>
        <c:crosses val="autoZero"/>
        <c:auto val="1"/>
        <c:lblAlgn val="ctr"/>
        <c:lblOffset val="100"/>
        <c:noMultiLvlLbl val="0"/>
      </c:catAx>
      <c:valAx>
        <c:axId val="1891090383"/>
        <c:scaling>
          <c:orientation val="minMax"/>
        </c:scaling>
        <c:delete val="1"/>
        <c:axPos val="b"/>
        <c:numFmt formatCode="General" sourceLinked="1"/>
        <c:majorTickMark val="none"/>
        <c:minorTickMark val="none"/>
        <c:tickLblPos val="nextTo"/>
        <c:crossAx val="185674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PROJECT.xlsx]4!PivotTable4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DOCTORS NUMBER OF APPOINTMENTS</a:t>
            </a:r>
          </a:p>
        </c:rich>
      </c:tx>
      <c:layout>
        <c:manualLayout>
          <c:xMode val="edge"/>
          <c:yMode val="edge"/>
          <c:x val="0.10690863973633728"/>
          <c:y val="5.55975716341442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'4'!$A$4:$A$14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'4'!$B$4:$B$14</c:f>
              <c:numCache>
                <c:formatCode>General</c:formatCode>
                <c:ptCount val="10"/>
                <c:pt idx="0">
                  <c:v>18</c:v>
                </c:pt>
                <c:pt idx="1">
                  <c:v>13</c:v>
                </c:pt>
                <c:pt idx="2">
                  <c:v>15</c:v>
                </c:pt>
                <c:pt idx="3">
                  <c:v>13</c:v>
                </c:pt>
                <c:pt idx="4">
                  <c:v>22</c:v>
                </c:pt>
                <c:pt idx="5">
                  <c:v>21</c:v>
                </c:pt>
                <c:pt idx="6">
                  <c:v>10</c:v>
                </c:pt>
                <c:pt idx="7">
                  <c:v>14</c:v>
                </c:pt>
                <c:pt idx="8">
                  <c:v>17</c:v>
                </c:pt>
                <c:pt idx="9">
                  <c:v>14</c:v>
                </c:pt>
              </c:numCache>
            </c:numRef>
          </c:val>
          <c:extLst>
            <c:ext xmlns:c16="http://schemas.microsoft.com/office/drawing/2014/chart" uri="{C3380CC4-5D6E-409C-BE32-E72D297353CC}">
              <c16:uniqueId val="{00000000-AF9D-4DF2-A5E4-3A52F04D79FF}"/>
            </c:ext>
          </c:extLst>
        </c:ser>
        <c:dLbls>
          <c:showLegendKey val="0"/>
          <c:showVal val="1"/>
          <c:showCatName val="0"/>
          <c:showSerName val="0"/>
          <c:showPercent val="0"/>
          <c:showBubbleSize val="0"/>
        </c:dLbls>
        <c:gapWidth val="150"/>
        <c:shape val="box"/>
        <c:axId val="1853121327"/>
        <c:axId val="1891119183"/>
        <c:axId val="0"/>
      </c:bar3DChart>
      <c:catAx>
        <c:axId val="18531213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119183"/>
        <c:crosses val="autoZero"/>
        <c:auto val="1"/>
        <c:lblAlgn val="ctr"/>
        <c:lblOffset val="100"/>
        <c:noMultiLvlLbl val="0"/>
      </c:catAx>
      <c:valAx>
        <c:axId val="1891119183"/>
        <c:scaling>
          <c:orientation val="minMax"/>
        </c:scaling>
        <c:delete val="1"/>
        <c:axPos val="l"/>
        <c:numFmt formatCode="General" sourceLinked="1"/>
        <c:majorTickMark val="none"/>
        <c:minorTickMark val="none"/>
        <c:tickLblPos val="nextTo"/>
        <c:crossAx val="185312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PROJECT.xlsx]5!PivotTable5</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TREND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58705161854754E-2"/>
          <c:y val="0.25865522018081066"/>
          <c:w val="0.74962685914260718"/>
          <c:h val="0.53811424613589964"/>
        </c:manualLayout>
      </c:layout>
      <c:lineChart>
        <c:grouping val="stacked"/>
        <c:varyColors val="0"/>
        <c:ser>
          <c:idx val="0"/>
          <c:order val="0"/>
          <c:tx>
            <c:strRef>
              <c:f>'5'!$B$3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'5'!$A$4:$A$13</c:f>
              <c:strCache>
                <c:ptCount val="9"/>
                <c:pt idx="0">
                  <c:v>Jan</c:v>
                </c:pt>
                <c:pt idx="1">
                  <c:v>Feb</c:v>
                </c:pt>
                <c:pt idx="2">
                  <c:v>Mar</c:v>
                </c:pt>
                <c:pt idx="3">
                  <c:v>Apr</c:v>
                </c:pt>
                <c:pt idx="4">
                  <c:v>May</c:v>
                </c:pt>
                <c:pt idx="5">
                  <c:v>Jun</c:v>
                </c:pt>
                <c:pt idx="6">
                  <c:v>Jul</c:v>
                </c:pt>
                <c:pt idx="7">
                  <c:v>Aug</c:v>
                </c:pt>
                <c:pt idx="8">
                  <c:v>Sep</c:v>
                </c:pt>
              </c:strCache>
            </c:strRef>
          </c:cat>
          <c:val>
            <c:numRef>
              <c:f>'5'!$B$4:$B$13</c:f>
              <c:numCache>
                <c:formatCode>General</c:formatCode>
                <c:ptCount val="9"/>
                <c:pt idx="0">
                  <c:v>20</c:v>
                </c:pt>
                <c:pt idx="1">
                  <c:v>14</c:v>
                </c:pt>
                <c:pt idx="2">
                  <c:v>19</c:v>
                </c:pt>
                <c:pt idx="3">
                  <c:v>25</c:v>
                </c:pt>
                <c:pt idx="4">
                  <c:v>19</c:v>
                </c:pt>
                <c:pt idx="5">
                  <c:v>18</c:v>
                </c:pt>
                <c:pt idx="6">
                  <c:v>16</c:v>
                </c:pt>
                <c:pt idx="7">
                  <c:v>15</c:v>
                </c:pt>
                <c:pt idx="8">
                  <c:v>11</c:v>
                </c:pt>
              </c:numCache>
            </c:numRef>
          </c:val>
          <c:smooth val="0"/>
          <c:extLst>
            <c:ext xmlns:c16="http://schemas.microsoft.com/office/drawing/2014/chart" uri="{C3380CC4-5D6E-409C-BE32-E72D297353CC}">
              <c16:uniqueId val="{00000000-459D-4A4A-9D69-AA31AD580182}"/>
            </c:ext>
          </c:extLst>
        </c:ser>
        <c:dLbls>
          <c:dLblPos val="t"/>
          <c:showLegendKey val="0"/>
          <c:showVal val="1"/>
          <c:showCatName val="0"/>
          <c:showSerName val="0"/>
          <c:showPercent val="0"/>
          <c:showBubbleSize val="0"/>
        </c:dLbls>
        <c:marker val="1"/>
        <c:smooth val="0"/>
        <c:axId val="1544759983"/>
        <c:axId val="1891076463"/>
      </c:lineChart>
      <c:catAx>
        <c:axId val="15447599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1076463"/>
        <c:crosses val="autoZero"/>
        <c:auto val="1"/>
        <c:lblAlgn val="ctr"/>
        <c:lblOffset val="100"/>
        <c:noMultiLvlLbl val="0"/>
      </c:catAx>
      <c:valAx>
        <c:axId val="1891076463"/>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54475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[EXCELL PROJECT.xlsx]7!PivotTable11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a:t>
            </a:r>
            <a:r>
              <a:rPr lang="en-US" baseline="0"/>
              <a:t> INSURANCE COMPANY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461045494313209"/>
          <c:y val="0.25402559055118112"/>
          <c:w val="0.41147353455818025"/>
          <c:h val="0.68578922426363376"/>
        </c:manualLayout>
      </c:layout>
      <c:doughnutChart>
        <c:varyColors val="1"/>
        <c:ser>
          <c:idx val="0"/>
          <c:order val="0"/>
          <c:tx>
            <c:strRef>
              <c:f>'7'!$B$3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2E-4872-8C29-9AE714107A24}"/>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2E-4872-8C29-9AE714107A24}"/>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2E-4872-8C29-9AE714107A24}"/>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2E-4872-8C29-9AE714107A24}"/>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'7'!$A$4:$A$8</c:f>
              <c:strCache>
                <c:ptCount val="4"/>
                <c:pt idx="0">
                  <c:v>HealthIndia</c:v>
                </c:pt>
                <c:pt idx="1">
                  <c:v>MedCare Plus</c:v>
                </c:pt>
                <c:pt idx="2">
                  <c:v>PulseSecure</c:v>
                </c:pt>
                <c:pt idx="3">
                  <c:v>WellnessCorp</c:v>
                </c:pt>
              </c:strCache>
            </c:strRef>
          </c:cat>
          <c:val>
            <c:numRef>
              <c:f>'7'!$B$4:$B$8</c:f>
              <c:numCache>
                <c:formatCode>0.00%</c:formatCode>
                <c:ptCount val="4"/>
                <c:pt idx="0">
                  <c:v>0.11</c:v>
                </c:pt>
                <c:pt idx="1">
                  <c:v>0.42</c:v>
                </c:pt>
                <c:pt idx="2">
                  <c:v>0.18</c:v>
                </c:pt>
                <c:pt idx="3">
                  <c:v>0.28999999999999998</c:v>
                </c:pt>
              </c:numCache>
            </c:numRef>
          </c:val>
          <c:extLst>
            <c:ext xmlns:c16="http://schemas.microsoft.com/office/drawing/2014/chart" uri="{C3380CC4-5D6E-409C-BE32-E72D297353CC}">
              <c16:uniqueId val="{00000008-742E-4872-8C29-9AE714107A2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PROJECT.xlsx]6!PivotTable10</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CATEGORIES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'6'!$A$4:$A$7</c:f>
              <c:strCache>
                <c:ptCount val="3"/>
                <c:pt idx="0">
                  <c:v>MIDDLE AGE</c:v>
                </c:pt>
                <c:pt idx="1">
                  <c:v>SENIOR</c:v>
                </c:pt>
                <c:pt idx="2">
                  <c:v>YOUNG ADULT</c:v>
                </c:pt>
              </c:strCache>
            </c:strRef>
          </c:cat>
          <c:val>
            <c:numRef>
              <c:f>'6'!$B$4:$B$7</c:f>
              <c:numCache>
                <c:formatCode>General</c:formatCode>
                <c:ptCount val="3"/>
                <c:pt idx="0">
                  <c:v>60</c:v>
                </c:pt>
                <c:pt idx="1">
                  <c:v>51</c:v>
                </c:pt>
                <c:pt idx="2">
                  <c:v>89</c:v>
                </c:pt>
              </c:numCache>
            </c:numRef>
          </c:val>
          <c:extLst>
            <c:ext xmlns:c16="http://schemas.microsoft.com/office/drawing/2014/chart" uri="{C3380CC4-5D6E-409C-BE32-E72D297353CC}">
              <c16:uniqueId val="{00000000-E1A6-42D6-B7B7-2B969A69DB52}"/>
            </c:ext>
          </c:extLst>
        </c:ser>
        <c:dLbls>
          <c:showLegendKey val="0"/>
          <c:showVal val="1"/>
          <c:showCatName val="0"/>
          <c:showSerName val="0"/>
          <c:showPercent val="0"/>
          <c:showBubbleSize val="0"/>
        </c:dLbls>
        <c:gapWidth val="150"/>
        <c:shape val="box"/>
        <c:axId val="1679465072"/>
        <c:axId val="1699845136"/>
        <c:axId val="1532440736"/>
      </c:bar3DChart>
      <c:catAx>
        <c:axId val="167946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45136"/>
        <c:crosses val="autoZero"/>
        <c:auto val="1"/>
        <c:lblAlgn val="ctr"/>
        <c:lblOffset val="100"/>
        <c:noMultiLvlLbl val="0"/>
      </c:catAx>
      <c:valAx>
        <c:axId val="1699845136"/>
        <c:scaling>
          <c:orientation val="minMax"/>
        </c:scaling>
        <c:delete val="1"/>
        <c:axPos val="l"/>
        <c:numFmt formatCode="General" sourceLinked="1"/>
        <c:majorTickMark val="none"/>
        <c:minorTickMark val="none"/>
        <c:tickLblPos val="nextTo"/>
        <c:crossAx val="1679465072"/>
        <c:crosses val="autoZero"/>
        <c:crossBetween val="between"/>
      </c:valAx>
      <c:serAx>
        <c:axId val="1532440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45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PROJECT.xlsx]Sheet1!PivotTable1</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Sheet1!$A$4:$A$8</c:f>
              <c:strCache>
                <c:ptCount val="4"/>
                <c:pt idx="0">
                  <c:v>Cancelled</c:v>
                </c:pt>
                <c:pt idx="1">
                  <c:v>Completed</c:v>
                </c:pt>
                <c:pt idx="2">
                  <c:v>No-show</c:v>
                </c:pt>
                <c:pt idx="3">
                  <c:v>Scheduled</c:v>
                </c:pt>
              </c:strCache>
            </c:strRef>
          </c:cat>
          <c:val>
            <c:numRef>
              <c:f>Sheet1!$B$4:$B$8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0-AA3B-4E95-8334-C6C28AAB031E}"/>
            </c:ext>
          </c:extLst>
        </c:ser>
        <c:dLbls>
          <c:dLblPos val="outEnd"/>
          <c:showLegendKey val="0"/>
          <c:showVal val="1"/>
          <c:showCatName val="0"/>
          <c:showSerName val="0"/>
          <c:showPercent val="0"/>
          <c:showBubbleSize val="0"/>
        </c:dLbls>
        <c:gapWidth val="315"/>
        <c:overlap val="-40"/>
        <c:axId val="2053701344"/>
        <c:axId val="1704256816"/>
      </c:barChart>
      <c:catAx>
        <c:axId val="20537013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4256816"/>
        <c:crosses val="autoZero"/>
        <c:auto val="1"/>
        <c:lblAlgn val="ctr"/>
        <c:lblOffset val="100"/>
        <c:noMultiLvlLbl val="0"/>
      </c:catAx>
      <c:valAx>
        <c:axId val="1704256816"/>
        <c:scaling>
          <c:orientation val="minMax"/>
        </c:scaling>
        <c:delete val="1"/>
        <c:axPos val="l"/>
        <c:numFmt formatCode="General" sourceLinked="1"/>
        <c:majorTickMark val="none"/>
        <c:minorTickMark val="none"/>
        <c:tickLblPos val="nextTo"/>
        <c:crossAx val="205370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PROJECT.xlsx]1!PivotTable1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APPOINTMENTS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7442875187827"/>
          <c:y val="0.26347594794572232"/>
          <c:w val="0.77616426071741029"/>
          <c:h val="0.62968613298337706"/>
        </c:manualLayout>
      </c:layout>
      <c:barChart>
        <c:barDir val="col"/>
        <c:grouping val="clustered"/>
        <c:varyColors val="0"/>
        <c:ser>
          <c:idx val="0"/>
          <c:order val="0"/>
          <c:tx>
            <c:strRef>
              <c:f>'1'!$A$3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'1'!$A$4</c:f>
              <c:strCache>
                <c:ptCount val="1"/>
                <c:pt idx="0">
                  <c:v>Total</c:v>
                </c:pt>
              </c:strCache>
            </c:strRef>
          </c:cat>
          <c:val>
            <c:numRef>
              <c:f>'1'!$A$4</c:f>
              <c:numCache>
                <c:formatCode>General</c:formatCode>
                <c:ptCount val="1"/>
                <c:pt idx="0">
                  <c:v>200</c:v>
                </c:pt>
              </c:numCache>
            </c:numRef>
          </c:val>
          <c:extLst>
            <c:ext xmlns:c16="http://schemas.microsoft.com/office/drawing/2014/chart" uri="{C3380CC4-5D6E-409C-BE32-E72D297353CC}">
              <c16:uniqueId val="{00000000-B0B2-4D8B-AFE9-8214C20B5330}"/>
            </c:ext>
          </c:extLst>
        </c:ser>
        <c:dLbls>
          <c:dLblPos val="outEnd"/>
          <c:showLegendKey val="0"/>
          <c:showVal val="1"/>
          <c:showCatName val="0"/>
          <c:showSerName val="0"/>
          <c:showPercent val="0"/>
          <c:showBubbleSize val="0"/>
        </c:dLbls>
        <c:gapWidth val="315"/>
        <c:overlap val="-40"/>
        <c:axId val="1554618015"/>
        <c:axId val="1441647791"/>
      </c:barChart>
      <c:catAx>
        <c:axId val="155461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1647791"/>
        <c:crosses val="autoZero"/>
        <c:auto val="1"/>
        <c:lblAlgn val="ctr"/>
        <c:lblOffset val="100"/>
        <c:noMultiLvlLbl val="0"/>
      </c:catAx>
      <c:valAx>
        <c:axId val="1441647791"/>
        <c:scaling>
          <c:orientation val="minMax"/>
        </c:scaling>
        <c:delete val="1"/>
        <c:axPos val="l"/>
        <c:numFmt formatCode="General" sourceLinked="1"/>
        <c:majorTickMark val="none"/>
        <c:minorTickMark val="none"/>
        <c:tickLblPos val="nextTo"/>
        <c:crossAx val="155461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[EXCELL PROJECT.xlsx]2!PivotTable2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APPOINTMENT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689988781889554E-2"/>
          <c:y val="0.24088255790288698"/>
          <c:w val="0.81462002243622089"/>
          <c:h val="0.65306784565282339"/>
        </c:manualLayout>
      </c:layout>
      <c:pie3DChart>
        <c:varyColors val="1"/>
        <c:ser>
          <c:idx val="0"/>
          <c:order val="0"/>
          <c:tx>
            <c:strRef>
              <c:f>'2'!$B$3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DC5-499F-9D11-2AF374E12A2A}"/>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DC5-499F-9D11-2AF374E12A2A}"/>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DC5-499F-9D11-2AF374E12A2A}"/>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DC5-499F-9D11-2AF374E12A2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'2'!$A$4:$A$8</c:f>
              <c:strCache>
                <c:ptCount val="4"/>
                <c:pt idx="0">
                  <c:v>Cancelled</c:v>
                </c:pt>
                <c:pt idx="1">
                  <c:v>Completed</c:v>
                </c:pt>
                <c:pt idx="2">
                  <c:v>No-show</c:v>
                </c:pt>
                <c:pt idx="3">
                  <c:v>Scheduled</c:v>
                </c:pt>
              </c:strCache>
            </c:strRef>
          </c:cat>
          <c:val>
            <c:numRef>
              <c:f>'2'!$B$4:$B$8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8-FDC5-499F-9D11-2AF374E12A2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PROJECT.xlsx]3!PivotTable3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REASON</a:t>
            </a:r>
            <a:r>
              <a:rPr lang="en-US" baseline="0"/>
              <a:t> FOR VISIT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'3'!$A$4:$A$9</c:f>
              <c:strCache>
                <c:ptCount val="5"/>
                <c:pt idx="0">
                  <c:v>Checkup</c:v>
                </c:pt>
                <c:pt idx="1">
                  <c:v>Consultation</c:v>
                </c:pt>
                <c:pt idx="2">
                  <c:v>Emergency</c:v>
                </c:pt>
                <c:pt idx="3">
                  <c:v>Follow-up</c:v>
                </c:pt>
                <c:pt idx="4">
                  <c:v>Therapy</c:v>
                </c:pt>
              </c:strCache>
            </c:strRef>
          </c:cat>
          <c:val>
            <c:numRef>
              <c:f>'3'!$B$4:$B$9</c:f>
              <c:numCache>
                <c:formatCode>General</c:formatCode>
                <c:ptCount val="5"/>
                <c:pt idx="0">
                  <c:v>34</c:v>
                </c:pt>
                <c:pt idx="1">
                  <c:v>33</c:v>
                </c:pt>
                <c:pt idx="2">
                  <c:v>23</c:v>
                </c:pt>
                <c:pt idx="3">
                  <c:v>33</c:v>
                </c:pt>
                <c:pt idx="4">
                  <c:v>34</c:v>
                </c:pt>
              </c:numCache>
            </c:numRef>
          </c:val>
          <c:extLst>
            <c:ext xmlns:c16="http://schemas.microsoft.com/office/drawing/2014/chart" uri="{C3380CC4-5D6E-409C-BE32-E72D297353CC}">
              <c16:uniqueId val="{00000000-F2F4-45B6-B4D5-A0DAABB02EC9}"/>
            </c:ext>
          </c:extLst>
        </c:ser>
        <c:dLbls>
          <c:showLegendKey val="0"/>
          <c:showVal val="1"/>
          <c:showCatName val="0"/>
          <c:showSerName val="0"/>
          <c:showPercent val="0"/>
          <c:showBubbleSize val="0"/>
        </c:dLbls>
        <c:gapWidth val="150"/>
        <c:shape val="box"/>
        <c:axId val="1856746447"/>
        <c:axId val="1891090383"/>
        <c:axId val="0"/>
      </c:bar3DChart>
      <c:catAx>
        <c:axId val="18567464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090383"/>
        <c:crosses val="autoZero"/>
        <c:auto val="1"/>
        <c:lblAlgn val="ctr"/>
        <c:lblOffset val="100"/>
        <c:noMultiLvlLbl val="0"/>
      </c:catAx>
      <c:valAx>
        <c:axId val="1891090383"/>
        <c:scaling>
          <c:orientation val="minMax"/>
        </c:scaling>
        <c:delete val="1"/>
        <c:axPos val="b"/>
        <c:numFmt formatCode="General" sourceLinked="1"/>
        <c:majorTickMark val="none"/>
        <c:minorTickMark val="none"/>
        <c:tickLblPos val="nextTo"/>
        <c:crossAx val="185674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PROJECT.xlsx]4!PivotTable4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DOCTORS NUMBER OF APPOINTMENTS</a:t>
            </a:r>
          </a:p>
        </c:rich>
      </c:tx>
      <c:layout>
        <c:manualLayout>
          <c:xMode val="edge"/>
          <c:yMode val="edge"/>
          <c:x val="0.10690863973633728"/>
          <c:y val="5.55975716341442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'4'!$A$4:$A$14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'4'!$B$4:$B$14</c:f>
              <c:numCache>
                <c:formatCode>General</c:formatCode>
                <c:ptCount val="10"/>
                <c:pt idx="0">
                  <c:v>18</c:v>
                </c:pt>
                <c:pt idx="1">
                  <c:v>13</c:v>
                </c:pt>
                <c:pt idx="2">
                  <c:v>15</c:v>
                </c:pt>
                <c:pt idx="3">
                  <c:v>13</c:v>
                </c:pt>
                <c:pt idx="4">
                  <c:v>22</c:v>
                </c:pt>
                <c:pt idx="5">
                  <c:v>21</c:v>
                </c:pt>
                <c:pt idx="6">
                  <c:v>10</c:v>
                </c:pt>
                <c:pt idx="7">
                  <c:v>14</c:v>
                </c:pt>
                <c:pt idx="8">
                  <c:v>17</c:v>
                </c:pt>
                <c:pt idx="9">
                  <c:v>14</c:v>
                </c:pt>
              </c:numCache>
            </c:numRef>
          </c:val>
          <c:extLst>
            <c:ext xmlns:c16="http://schemas.microsoft.com/office/drawing/2014/chart" uri="{C3380CC4-5D6E-409C-BE32-E72D297353CC}">
              <c16:uniqueId val="{00000000-950F-4BC7-BB48-94D056CB0994}"/>
            </c:ext>
          </c:extLst>
        </c:ser>
        <c:dLbls>
          <c:showLegendKey val="0"/>
          <c:showVal val="1"/>
          <c:showCatName val="0"/>
          <c:showSerName val="0"/>
          <c:showPercent val="0"/>
          <c:showBubbleSize val="0"/>
        </c:dLbls>
        <c:gapWidth val="150"/>
        <c:shape val="box"/>
        <c:axId val="1853121327"/>
        <c:axId val="1891119183"/>
        <c:axId val="0"/>
      </c:bar3DChart>
      <c:catAx>
        <c:axId val="18531213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119183"/>
        <c:crosses val="autoZero"/>
        <c:auto val="1"/>
        <c:lblAlgn val="ctr"/>
        <c:lblOffset val="100"/>
        <c:noMultiLvlLbl val="0"/>
      </c:catAx>
      <c:valAx>
        <c:axId val="1891119183"/>
        <c:scaling>
          <c:orientation val="minMax"/>
        </c:scaling>
        <c:delete val="1"/>
        <c:axPos val="l"/>
        <c:numFmt formatCode="General" sourceLinked="1"/>
        <c:majorTickMark val="none"/>
        <c:minorTickMark val="none"/>
        <c:tickLblPos val="nextTo"/>
        <c:crossAx val="185312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PROJECT.xlsx]5!PivotTable5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TREND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58705161854754E-2"/>
          <c:y val="0.25865522018081066"/>
          <c:w val="0.74962685914260718"/>
          <c:h val="0.53811424613589964"/>
        </c:manualLayout>
      </c:layout>
      <c:lineChart>
        <c:grouping val="stacked"/>
        <c:varyColors val="0"/>
        <c:ser>
          <c:idx val="0"/>
          <c:order val="0"/>
          <c:tx>
            <c:strRef>
              <c:f>'5'!$B$3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'5'!$A$4:$A$13</c:f>
              <c:strCache>
                <c:ptCount val="9"/>
                <c:pt idx="0">
                  <c:v>Jan</c:v>
                </c:pt>
                <c:pt idx="1">
                  <c:v>Feb</c:v>
                </c:pt>
                <c:pt idx="2">
                  <c:v>Mar</c:v>
                </c:pt>
                <c:pt idx="3">
                  <c:v>Apr</c:v>
                </c:pt>
                <c:pt idx="4">
                  <c:v>May</c:v>
                </c:pt>
                <c:pt idx="5">
                  <c:v>Jun</c:v>
                </c:pt>
                <c:pt idx="6">
                  <c:v>Jul</c:v>
                </c:pt>
                <c:pt idx="7">
                  <c:v>Aug</c:v>
                </c:pt>
                <c:pt idx="8">
                  <c:v>Sep</c:v>
                </c:pt>
              </c:strCache>
            </c:strRef>
          </c:cat>
          <c:val>
            <c:numRef>
              <c:f>'5'!$B$4:$B$13</c:f>
              <c:numCache>
                <c:formatCode>General</c:formatCode>
                <c:ptCount val="9"/>
                <c:pt idx="0">
                  <c:v>20</c:v>
                </c:pt>
                <c:pt idx="1">
                  <c:v>14</c:v>
                </c:pt>
                <c:pt idx="2">
                  <c:v>19</c:v>
                </c:pt>
                <c:pt idx="3">
                  <c:v>25</c:v>
                </c:pt>
                <c:pt idx="4">
                  <c:v>19</c:v>
                </c:pt>
                <c:pt idx="5">
                  <c:v>18</c:v>
                </c:pt>
                <c:pt idx="6">
                  <c:v>16</c:v>
                </c:pt>
                <c:pt idx="7">
                  <c:v>15</c:v>
                </c:pt>
                <c:pt idx="8">
                  <c:v>11</c:v>
                </c:pt>
              </c:numCache>
            </c:numRef>
          </c:val>
          <c:smooth val="0"/>
          <c:extLst>
            <c:ext xmlns:c16="http://schemas.microsoft.com/office/drawing/2014/chart" uri="{C3380CC4-5D6E-409C-BE32-E72D297353CC}">
              <c16:uniqueId val="{00000000-115A-428D-8EEC-161C859E9708}"/>
            </c:ext>
          </c:extLst>
        </c:ser>
        <c:dLbls>
          <c:dLblPos val="t"/>
          <c:showLegendKey val="0"/>
          <c:showVal val="1"/>
          <c:showCatName val="0"/>
          <c:showSerName val="0"/>
          <c:showPercent val="0"/>
          <c:showBubbleSize val="0"/>
        </c:dLbls>
        <c:marker val="1"/>
        <c:smooth val="0"/>
        <c:axId val="1544759983"/>
        <c:axId val="1891076463"/>
      </c:lineChart>
      <c:catAx>
        <c:axId val="15447599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91076463"/>
        <c:crosses val="autoZero"/>
        <c:auto val="1"/>
        <c:lblAlgn val="ctr"/>
        <c:lblOffset val="100"/>
        <c:noMultiLvlLbl val="0"/>
      </c:catAx>
      <c:valAx>
        <c:axId val="1891076463"/>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154475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PROJECT.xlsx]6!PivotTable10</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CATEGORIES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'6'!$A$4:$A$7</c:f>
              <c:strCache>
                <c:ptCount val="3"/>
                <c:pt idx="0">
                  <c:v>MIDDLE AGE</c:v>
                </c:pt>
                <c:pt idx="1">
                  <c:v>SENIOR</c:v>
                </c:pt>
                <c:pt idx="2">
                  <c:v>YOUNG ADULT</c:v>
                </c:pt>
              </c:strCache>
            </c:strRef>
          </c:cat>
          <c:val>
            <c:numRef>
              <c:f>'6'!$B$4:$B$7</c:f>
              <c:numCache>
                <c:formatCode>General</c:formatCode>
                <c:ptCount val="3"/>
                <c:pt idx="0">
                  <c:v>60</c:v>
                </c:pt>
                <c:pt idx="1">
                  <c:v>51</c:v>
                </c:pt>
                <c:pt idx="2">
                  <c:v>89</c:v>
                </c:pt>
              </c:numCache>
            </c:numRef>
          </c:val>
          <c:extLst>
            <c:ext xmlns:c16="http://schemas.microsoft.com/office/drawing/2014/chart" uri="{C3380CC4-5D6E-409C-BE32-E72D297353CC}">
              <c16:uniqueId val="{00000000-38F7-4123-9BE5-7AB85044F6AA}"/>
            </c:ext>
          </c:extLst>
        </c:ser>
        <c:dLbls>
          <c:showLegendKey val="0"/>
          <c:showVal val="1"/>
          <c:showCatName val="0"/>
          <c:showSerName val="0"/>
          <c:showPercent val="0"/>
          <c:showBubbleSize val="0"/>
        </c:dLbls>
        <c:gapWidth val="150"/>
        <c:shape val="box"/>
        <c:axId val="1679465072"/>
        <c:axId val="1699845136"/>
        <c:axId val="1532440736"/>
      </c:bar3DChart>
      <c:catAx>
        <c:axId val="167946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45136"/>
        <c:crosses val="autoZero"/>
        <c:auto val="1"/>
        <c:lblAlgn val="ctr"/>
        <c:lblOffset val="100"/>
        <c:noMultiLvlLbl val="0"/>
      </c:catAx>
      <c:valAx>
        <c:axId val="1699845136"/>
        <c:scaling>
          <c:orientation val="minMax"/>
        </c:scaling>
        <c:delete val="1"/>
        <c:axPos val="l"/>
        <c:numFmt formatCode="General" sourceLinked="1"/>
        <c:majorTickMark val="none"/>
        <c:minorTickMark val="none"/>
        <c:tickLblPos val="nextTo"/>
        <c:crossAx val="1679465072"/>
        <c:crosses val="autoZero"/>
        <c:crossBetween val="between"/>
      </c:valAx>
      <c:serAx>
        <c:axId val="1532440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45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[EXCELL PROJECT.xlsx]7!PivotTable11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a:t>
            </a:r>
            <a:r>
              <a:rPr lang="en-US" baseline="0"/>
              <a:t> INSURANCE COMPANY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9461045494313209"/>
          <c:y val="0.25402559055118112"/>
          <c:w val="0.41147353455818025"/>
          <c:h val="0.68578922426363376"/>
        </c:manualLayout>
      </c:layout>
      <c:doughnutChart>
        <c:varyColors val="1"/>
        <c:ser>
          <c:idx val="0"/>
          <c:order val="0"/>
          <c:tx>
            <c:strRef>
              <c:f>'7'!$B$3</c:f>
              <c:strCache>
                <c:ptCount val="1"/>
                <c:pt idx="0">
                  <c:v>Total</c:v>
                </c:pt>
              </c:strCache>
            </c:strRef>
          </c:tx>
          <c:dPt>
            <c:idx val="0"/>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0C-4272-9DC1-4A7462C3CE1F}"/>
              </c:ext>
            </c:extLst>
          </c:dPt>
          <c:dPt>
            <c:idx val="1"/>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0C-4272-9DC1-4A7462C3CE1F}"/>
              </c:ext>
            </c:extLst>
          </c:dPt>
          <c:dPt>
            <c:idx val="2"/>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0C-4272-9DC1-4A7462C3CE1F}"/>
              </c:ext>
            </c:extLst>
          </c:dPt>
          <c:dPt>
            <c:idx val="3"/>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0C-4272-9DC1-4A7462C3CE1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'7'!$A$4:$A$8</c:f>
              <c:strCache>
                <c:ptCount val="4"/>
                <c:pt idx="0">
                  <c:v>HealthIndia</c:v>
                </c:pt>
                <c:pt idx="1">
                  <c:v>MedCare Plus</c:v>
                </c:pt>
                <c:pt idx="2">
                  <c:v>PulseSecure</c:v>
                </c:pt>
                <c:pt idx="3">
                  <c:v>WellnessCorp</c:v>
                </c:pt>
              </c:strCache>
            </c:strRef>
          </c:cat>
          <c:val>
            <c:numRef>
              <c:f>'7'!$B$4:$B$8</c:f>
              <c:numCache>
                <c:formatCode>0.00%</c:formatCode>
                <c:ptCount val="4"/>
                <c:pt idx="0">
                  <c:v>0.11</c:v>
                </c:pt>
                <c:pt idx="1">
                  <c:v>0.42</c:v>
                </c:pt>
                <c:pt idx="2">
                  <c:v>0.18</c:v>
                </c:pt>
                <c:pt idx="3">
                  <c:v>0.28999999999999998</c:v>
                </c:pt>
              </c:numCache>
            </c:numRef>
          </c:val>
          <c:extLst>
            <c:ext xmlns:c16="http://schemas.microsoft.com/office/drawing/2014/chart" uri="{C3380CC4-5D6E-409C-BE32-E72D297353CC}">
              <c16:uniqueId val="{00000008-1C0C-4272-9DC1-4A7462C3CE1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PROJECT.xlsx]Sheet1!PivotTable1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Sheet1!$A$4:$A$8</c:f>
              <c:strCache>
                <c:ptCount val="4"/>
                <c:pt idx="0">
                  <c:v>Cancelled</c:v>
                </c:pt>
                <c:pt idx="1">
                  <c:v>Completed</c:v>
                </c:pt>
                <c:pt idx="2">
                  <c:v>No-show</c:v>
                </c:pt>
                <c:pt idx="3">
                  <c:v>Scheduled</c:v>
                </c:pt>
              </c:strCache>
            </c:strRef>
          </c:cat>
          <c:val>
            <c:numRef>
              <c:f>Sheet1!$B$4:$B$8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0-F52C-49C2-8072-AA29BE7084D1}"/>
            </c:ext>
          </c:extLst>
        </c:ser>
        <c:dLbls>
          <c:dLblPos val="outEnd"/>
          <c:showLegendKey val="0"/>
          <c:showVal val="1"/>
          <c:showCatName val="0"/>
          <c:showSerName val="0"/>
          <c:showPercent val="0"/>
          <c:showBubbleSize val="0"/>
        </c:dLbls>
        <c:gapWidth val="315"/>
        <c:overlap val="-40"/>
        <c:axId val="2053701344"/>
        <c:axId val="1704256816"/>
      </c:barChart>
      <c:catAx>
        <c:axId val="20537013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4256816"/>
        <c:crosses val="autoZero"/>
        <c:auto val="1"/>
        <c:lblAlgn val="ctr"/>
        <c:lblOffset val="100"/>
        <c:noMultiLvlLbl val="0"/>
      </c:catAx>
      <c:valAx>
        <c:axId val="1704256816"/>
        <c:scaling>
          <c:orientation val="minMax"/>
        </c:scaling>
        <c:delete val="1"/>
        <c:axPos val="l"/>
        <c:numFmt formatCode="General" sourceLinked="1"/>
        <c:majorTickMark val="none"/>
        <c:minorTickMark val="none"/>
        <c:tickLblPos val="nextTo"/>
        <c:crossAx val="205370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A7-4901-8152-5D0A8BEC25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A7-4901-8152-5D0A8BEC25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A7-4901-8152-5D0A8BEC25A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A7-4901-8152-5D0A8BEC25AA}"/>
              </c:ext>
            </c:extLst>
          </c:dPt>
          <c:cat>
            <c:strRef>
              <c:f>'2'!$A$4:$A$8</c:f>
              <c:strCache>
                <c:ptCount val="4"/>
                <c:pt idx="0">
                  <c:v>Cancelled</c:v>
                </c:pt>
                <c:pt idx="1">
                  <c:v>Completed</c:v>
                </c:pt>
                <c:pt idx="2">
                  <c:v>No-show</c:v>
                </c:pt>
                <c:pt idx="3">
                  <c:v>Scheduled</c:v>
                </c:pt>
              </c:strCache>
            </c:strRef>
          </c:cat>
          <c:val>
            <c:numRef>
              <c:f>'2'!$B$4:$B$8</c:f>
              <c:numCache>
                <c:formatCode>General</c:formatCode>
                <c:ptCount val="4"/>
                <c:pt idx="0">
                  <c:v>38</c:v>
                </c:pt>
                <c:pt idx="1">
                  <c:v>40</c:v>
                </c:pt>
                <c:pt idx="2">
                  <c:v>40</c:v>
                </c:pt>
                <c:pt idx="3">
                  <c:v>39</c:v>
                </c:pt>
              </c:numCache>
            </c:numRef>
          </c:val>
          <c:extLst>
            <c:ext xmlns:c16="http://schemas.microsoft.com/office/drawing/2014/chart" uri="{C3380CC4-5D6E-409C-BE32-E72D297353CC}">
              <c16:uniqueId val="{00000000-3915-40D7-AD39-D44CB8B05A6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'3'!$B$3</c:f>
              <c:strCache>
                <c:ptCount val="1"/>
                <c:pt idx="0">
                  <c:v>Total</c:v>
                </c:pt>
              </c:strCache>
            </c:strRef>
          </c:tx>
          <c:spPr>
            <a:solidFill>
              <a:schemeClr val="accent1"/>
            </a:solidFill>
            <a:ln>
              <a:noFill/>
            </a:ln>
            <a:effectLst/>
            <a:sp3d/>
          </c:spPr>
          <c:invertIfNegative val="0"/>
          <c:cat>
            <c:strRef>
              <c:f>'3'!$A$4:$A$9</c:f>
              <c:strCache>
                <c:ptCount val="5"/>
                <c:pt idx="0">
                  <c:v>Checkup</c:v>
                </c:pt>
                <c:pt idx="1">
                  <c:v>Consultation</c:v>
                </c:pt>
                <c:pt idx="2">
                  <c:v>Emergency</c:v>
                </c:pt>
                <c:pt idx="3">
                  <c:v>Follow-up</c:v>
                </c:pt>
                <c:pt idx="4">
                  <c:v>Therapy</c:v>
                </c:pt>
              </c:strCache>
            </c:strRef>
          </c:cat>
          <c:val>
            <c:numRef>
              <c:f>'3'!$B$4:$B$9</c:f>
              <c:numCache>
                <c:formatCode>General</c:formatCode>
                <c:ptCount val="5"/>
                <c:pt idx="0">
                  <c:v>34</c:v>
                </c:pt>
                <c:pt idx="1">
                  <c:v>33</c:v>
                </c:pt>
                <c:pt idx="2">
                  <c:v>23</c:v>
                </c:pt>
                <c:pt idx="3">
                  <c:v>33</c:v>
                </c:pt>
                <c:pt idx="4">
                  <c:v>34</c:v>
                </c:pt>
              </c:numCache>
            </c:numRef>
          </c:val>
          <c:extLst>
            <c:ext xmlns:c16="http://schemas.microsoft.com/office/drawing/2014/chart" uri="{C3380CC4-5D6E-409C-BE32-E72D297353CC}">
              <c16:uniqueId val="{00000000-191F-40A3-8531-616308929EDE}"/>
            </c:ext>
          </c:extLst>
        </c:ser>
        <c:dLbls>
          <c:showLegendKey val="0"/>
          <c:showVal val="0"/>
          <c:showCatName val="0"/>
          <c:showSerName val="0"/>
          <c:showPercent val="0"/>
          <c:showBubbleSize val="0"/>
        </c:dLbls>
        <c:gapWidth val="150"/>
        <c:shape val="box"/>
        <c:axId val="1856746447"/>
        <c:axId val="1891090383"/>
        <c:axId val="0"/>
      </c:bar3DChart>
      <c:catAx>
        <c:axId val="185674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90383"/>
        <c:crosses val="autoZero"/>
        <c:auto val="1"/>
        <c:lblAlgn val="ctr"/>
        <c:lblOffset val="100"/>
        <c:noMultiLvlLbl val="0"/>
      </c:catAx>
      <c:valAx>
        <c:axId val="189109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4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'4'!$B$3</c:f>
              <c:strCache>
                <c:ptCount val="1"/>
                <c:pt idx="0">
                  <c:v>Total</c:v>
                </c:pt>
              </c:strCache>
            </c:strRef>
          </c:tx>
          <c:spPr>
            <a:solidFill>
              <a:schemeClr val="accent1"/>
            </a:solidFill>
            <a:ln>
              <a:noFill/>
            </a:ln>
            <a:effectLst/>
            <a:sp3d/>
          </c:spPr>
          <c:invertIfNegative val="0"/>
          <c:cat>
            <c:strRef>
              <c:f>'4'!$A$4:$A$14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'4'!$B$4:$B$14</c:f>
              <c:numCache>
                <c:formatCode>General</c:formatCode>
                <c:ptCount val="10"/>
                <c:pt idx="0">
                  <c:v>18</c:v>
                </c:pt>
                <c:pt idx="1">
                  <c:v>13</c:v>
                </c:pt>
                <c:pt idx="2">
                  <c:v>15</c:v>
                </c:pt>
                <c:pt idx="3">
                  <c:v>13</c:v>
                </c:pt>
                <c:pt idx="4">
                  <c:v>22</c:v>
                </c:pt>
                <c:pt idx="5">
                  <c:v>21</c:v>
                </c:pt>
                <c:pt idx="6">
                  <c:v>10</c:v>
                </c:pt>
                <c:pt idx="7">
                  <c:v>14</c:v>
                </c:pt>
                <c:pt idx="8">
                  <c:v>17</c:v>
                </c:pt>
                <c:pt idx="9">
                  <c:v>14</c:v>
                </c:pt>
              </c:numCache>
            </c:numRef>
          </c:val>
          <c:extLst>
            <c:ext xmlns:c16="http://schemas.microsoft.com/office/drawing/2014/chart" uri="{C3380CC4-5D6E-409C-BE32-E72D297353CC}">
              <c16:uniqueId val="{00000000-C3A5-422F-9794-BD152F1FAF75}"/>
            </c:ext>
          </c:extLst>
        </c:ser>
        <c:dLbls>
          <c:showLegendKey val="0"/>
          <c:showVal val="0"/>
          <c:showCatName val="0"/>
          <c:showSerName val="0"/>
          <c:showPercent val="0"/>
          <c:showBubbleSize val="0"/>
        </c:dLbls>
        <c:gapWidth val="150"/>
        <c:shape val="box"/>
        <c:axId val="1853121327"/>
        <c:axId val="1891119183"/>
        <c:axId val="0"/>
      </c:bar3DChart>
      <c:catAx>
        <c:axId val="1853121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119183"/>
        <c:crosses val="autoZero"/>
        <c:auto val="1"/>
        <c:lblAlgn val="ctr"/>
        <c:lblOffset val="100"/>
        <c:noMultiLvlLbl val="0"/>
      </c:catAx>
      <c:valAx>
        <c:axId val="189111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'5'!$A$4:$A$13</c:f>
              <c:strCache>
                <c:ptCount val="9"/>
                <c:pt idx="0">
                  <c:v>Jan</c:v>
                </c:pt>
                <c:pt idx="1">
                  <c:v>Feb</c:v>
                </c:pt>
                <c:pt idx="2">
                  <c:v>Mar</c:v>
                </c:pt>
                <c:pt idx="3">
                  <c:v>Apr</c:v>
                </c:pt>
                <c:pt idx="4">
                  <c:v>May</c:v>
                </c:pt>
                <c:pt idx="5">
                  <c:v>Jun</c:v>
                </c:pt>
                <c:pt idx="6">
                  <c:v>Jul</c:v>
                </c:pt>
                <c:pt idx="7">
                  <c:v>Aug</c:v>
                </c:pt>
                <c:pt idx="8">
                  <c:v>Sep</c:v>
                </c:pt>
              </c:strCache>
            </c:strRef>
          </c:cat>
          <c:val>
            <c:numRef>
              <c:f>'5'!$B$4:$B$13</c:f>
              <c:numCache>
                <c:formatCode>General</c:formatCode>
                <c:ptCount val="9"/>
                <c:pt idx="0">
                  <c:v>20</c:v>
                </c:pt>
                <c:pt idx="1">
                  <c:v>14</c:v>
                </c:pt>
                <c:pt idx="2">
                  <c:v>19</c:v>
                </c:pt>
                <c:pt idx="3">
                  <c:v>25</c:v>
                </c:pt>
                <c:pt idx="4">
                  <c:v>19</c:v>
                </c:pt>
                <c:pt idx="5">
                  <c:v>18</c:v>
                </c:pt>
                <c:pt idx="6">
                  <c:v>16</c:v>
                </c:pt>
                <c:pt idx="7">
                  <c:v>15</c:v>
                </c:pt>
                <c:pt idx="8">
                  <c:v>11</c:v>
                </c:pt>
              </c:numCache>
            </c:numRef>
          </c:val>
          <c:smooth val="0"/>
          <c:extLst>
            <c:ext xmlns:c16="http://schemas.microsoft.com/office/drawing/2014/chart" uri="{C3380CC4-5D6E-409C-BE32-E72D297353CC}">
              <c16:uniqueId val="{00000000-0678-43E4-BB62-C1CDA7A56884}"/>
            </c:ext>
          </c:extLst>
        </c:ser>
        <c:dLbls>
          <c:showLegendKey val="0"/>
          <c:showVal val="0"/>
          <c:showCatName val="0"/>
          <c:showSerName val="0"/>
          <c:showPercent val="0"/>
          <c:showBubbleSize val="0"/>
        </c:dLbls>
        <c:marker val="1"/>
        <c:smooth val="0"/>
        <c:axId val="1544759983"/>
        <c:axId val="1891076463"/>
      </c:lineChart>
      <c:catAx>
        <c:axId val="154475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76463"/>
        <c:crosses val="autoZero"/>
        <c:auto val="1"/>
        <c:lblAlgn val="ctr"/>
        <c:lblOffset val="100"/>
        <c:noMultiLvlLbl val="0"/>
      </c:catAx>
      <c:valAx>
        <c:axId val="189107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5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PROJECT.xlsx]6!PivotTable10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'6'!$B$3</c:f>
              <c:strCache>
                <c:ptCount val="1"/>
                <c:pt idx="0">
                  <c:v>Total</c:v>
                </c:pt>
              </c:strCache>
            </c:strRef>
          </c:tx>
          <c:spPr>
            <a:solidFill>
              <a:schemeClr val="accent1"/>
            </a:solidFill>
            <a:ln>
              <a:noFill/>
            </a:ln>
            <a:effectLst/>
            <a:sp3d/>
          </c:spPr>
          <c:invertIfNegative val="0"/>
          <c:cat>
            <c:strRef>
              <c:f>'6'!$A$4:$A$7</c:f>
              <c:strCache>
                <c:ptCount val="3"/>
                <c:pt idx="0">
                  <c:v>MIDDLE AGE</c:v>
                </c:pt>
                <c:pt idx="1">
                  <c:v>SENIOR</c:v>
                </c:pt>
                <c:pt idx="2">
                  <c:v>YOUNG ADULT</c:v>
                </c:pt>
              </c:strCache>
            </c:strRef>
          </c:cat>
          <c:val>
            <c:numRef>
              <c:f>'6'!$B$4:$B$7</c:f>
              <c:numCache>
                <c:formatCode>General</c:formatCode>
                <c:ptCount val="3"/>
                <c:pt idx="0">
                  <c:v>60</c:v>
                </c:pt>
                <c:pt idx="1">
                  <c:v>51</c:v>
                </c:pt>
                <c:pt idx="2">
                  <c:v>89</c:v>
                </c:pt>
              </c:numCache>
            </c:numRef>
          </c:val>
          <c:extLst>
            <c:ext xmlns:c16="http://schemas.microsoft.com/office/drawing/2014/chart" uri="{C3380CC4-5D6E-409C-BE32-E72D297353CC}">
              <c16:uniqueId val="{00000000-42D1-4AF0-A8E3-1FBA703A698F}"/>
            </c:ext>
          </c:extLst>
        </c:ser>
        <c:dLbls>
          <c:showLegendKey val="0"/>
          <c:showVal val="0"/>
          <c:showCatName val="0"/>
          <c:showSerName val="0"/>
          <c:showPercent val="0"/>
          <c:showBubbleSize val="0"/>
        </c:dLbls>
        <c:gapWidth val="150"/>
        <c:shape val="box"/>
        <c:axId val="1679465072"/>
        <c:axId val="1699845136"/>
        <c:axId val="1532440736"/>
      </c:bar3DChart>
      <c:catAx>
        <c:axId val="167946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5136"/>
        <c:crosses val="autoZero"/>
        <c:auto val="1"/>
        <c:lblAlgn val="ctr"/>
        <c:lblOffset val="100"/>
        <c:noMultiLvlLbl val="0"/>
      </c:catAx>
      <c:valAx>
        <c:axId val="169984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465072"/>
        <c:crosses val="autoZero"/>
        <c:crossBetween val="between"/>
      </c:valAx>
      <c:serAx>
        <c:axId val="1532440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845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 PROJECT.xlsx]7!PivotTable11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E9-4D49-A2F9-C67F947B15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E9-4D49-A2F9-C67F947B15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E9-4D49-A2F9-C67F947B15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E9-4D49-A2F9-C67F947B15DA}"/>
              </c:ext>
            </c:extLst>
          </c:dPt>
          <c:cat>
            <c:strRef>
              <c:f>'7'!$A$4:$A$8</c:f>
              <c:strCache>
                <c:ptCount val="4"/>
                <c:pt idx="0">
                  <c:v>HealthIndia</c:v>
                </c:pt>
                <c:pt idx="1">
                  <c:v>MedCare Plus</c:v>
                </c:pt>
                <c:pt idx="2">
                  <c:v>PulseSecure</c:v>
                </c:pt>
                <c:pt idx="3">
                  <c:v>WellnessCorp</c:v>
                </c:pt>
              </c:strCache>
            </c:strRef>
          </c:cat>
          <c:val>
            <c:numRef>
              <c:f>'7'!$B$4:$B$8</c:f>
              <c:numCache>
                <c:formatCode>0.00%</c:formatCode>
                <c:ptCount val="4"/>
                <c:pt idx="0">
                  <c:v>0.11</c:v>
                </c:pt>
                <c:pt idx="1">
                  <c:v>0.42</c:v>
                </c:pt>
                <c:pt idx="2">
                  <c:v>0.18</c:v>
                </c:pt>
                <c:pt idx="3">
                  <c:v>0.28999999999999998</c:v>
                </c:pt>
              </c:numCache>
            </c:numRef>
          </c:val>
          <c:extLst>
            <c:ext xmlns:c16="http://schemas.microsoft.com/office/drawing/2014/chart" uri="{C3380CC4-5D6E-409C-BE32-E72D297353CC}">
              <c16:uniqueId val="{00000000-FE10-4017-BC09-3A5C9FB2B0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3</xdr:col>
      <xdr:colOff>182880</xdr:colOff>
      <xdr:row>6</xdr:row>
      <xdr:rowOff>45720</xdr:rowOff>
    </xdr:from>
    <xdr:to>
      <xdr:col>10</xdr:col>
      <xdr:colOff>487680</xdr:colOff>
      <xdr:row>21</xdr:row>
      <xdr:rowOff>45720</xdr:rowOff>
    </xdr:to>
    <xdr:graphicFrame macro="">
      <xdr:nvGraphicFramePr>
        <xdr:cNvPr id="2" name="Chart 1">
          <a:extLst>
            <a:ext uri="{FF2B5EF4-FFF2-40B4-BE49-F238E27FC236}">
              <a16:creationId xmlns:a16="http://schemas.microsoft.com/office/drawing/2014/main" id="{E9B9CAF8-F2A2-DCC5-EBEB-B83065EE1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10</xdr:row>
      <xdr:rowOff>64770</xdr:rowOff>
    </xdr:from>
    <xdr:to>
      <xdr:col>11</xdr:col>
      <xdr:colOff>449580</xdr:colOff>
      <xdr:row>25</xdr:row>
      <xdr:rowOff>64770</xdr:rowOff>
    </xdr:to>
    <xdr:graphicFrame macro="">
      <xdr:nvGraphicFramePr>
        <xdr:cNvPr id="3" name="Chart 2">
          <a:extLst>
            <a:ext uri="{FF2B5EF4-FFF2-40B4-BE49-F238E27FC236}">
              <a16:creationId xmlns:a16="http://schemas.microsoft.com/office/drawing/2014/main" id="{C3CCC8AC-074E-5D92-480B-5B8A4F5E9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8</xdr:row>
      <xdr:rowOff>57150</xdr:rowOff>
    </xdr:from>
    <xdr:to>
      <xdr:col>11</xdr:col>
      <xdr:colOff>121920</xdr:colOff>
      <xdr:row>23</xdr:row>
      <xdr:rowOff>57150</xdr:rowOff>
    </xdr:to>
    <xdr:graphicFrame macro="">
      <xdr:nvGraphicFramePr>
        <xdr:cNvPr id="5" name="Chart 4">
          <a:extLst>
            <a:ext uri="{FF2B5EF4-FFF2-40B4-BE49-F238E27FC236}">
              <a16:creationId xmlns:a16="http://schemas.microsoft.com/office/drawing/2014/main" id="{FC7F4396-E9D0-D4F9-3A2C-FDC09A233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284603</xdr:colOff>
      <xdr:row>7</xdr:row>
      <xdr:rowOff>18361</xdr:rowOff>
    </xdr:from>
    <xdr:to>
      <xdr:col>8</xdr:col>
      <xdr:colOff>9181</xdr:colOff>
      <xdr:row>22</xdr:row>
      <xdr:rowOff>7344</xdr:rowOff>
    </xdr:to>
    <xdr:graphicFrame macro="">
      <xdr:nvGraphicFramePr>
        <xdr:cNvPr id="2" name="Chart 1">
          <a:extLst>
            <a:ext uri="{FF2B5EF4-FFF2-40B4-BE49-F238E27FC236}">
              <a16:creationId xmlns:a16="http://schemas.microsoft.com/office/drawing/2014/main" id="{A791BD8C-6E8B-49A2-95A7-A0041CE0D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110168</xdr:colOff>
      <xdr:row>7</xdr:row>
      <xdr:rowOff>27542</xdr:rowOff>
    </xdr:from>
    <xdr:to>
      <xdr:col>15</xdr:col>
      <xdr:colOff>440674</xdr:colOff>
      <xdr:row>22</xdr:row>
      <xdr:rowOff>16525</xdr:rowOff>
    </xdr:to>
    <xdr:graphicFrame macro="">
      <xdr:nvGraphicFramePr>
        <xdr:cNvPr id="3" name="Chart 2">
          <a:extLst>
            <a:ext uri="{FF2B5EF4-FFF2-40B4-BE49-F238E27FC236}">
              <a16:creationId xmlns:a16="http://schemas.microsoft.com/office/drawing/2014/main" id="{256379A7-E0A8-4AF0-900F-C68DA7C4E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550843</xdr:colOff>
      <xdr:row>7</xdr:row>
      <xdr:rowOff>36723</xdr:rowOff>
    </xdr:from>
    <xdr:to>
      <xdr:col>23</xdr:col>
      <xdr:colOff>275422</xdr:colOff>
      <xdr:row>22</xdr:row>
      <xdr:rowOff>25706</xdr:rowOff>
    </xdr:to>
    <xdr:graphicFrame macro="">
      <xdr:nvGraphicFramePr>
        <xdr:cNvPr id="4" name="Chart 3">
          <a:extLst>
            <a:ext uri="{FF2B5EF4-FFF2-40B4-BE49-F238E27FC236}">
              <a16:creationId xmlns:a16="http://schemas.microsoft.com/office/drawing/2014/main" id="{1A63DDE4-DB91-47D4-8B9E-E6E20BDB3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303923</xdr:colOff>
      <xdr:row>22</xdr:row>
      <xdr:rowOff>97015</xdr:rowOff>
    </xdr:from>
    <xdr:to>
      <xdr:col>8</xdr:col>
      <xdr:colOff>20280</xdr:colOff>
      <xdr:row>37</xdr:row>
      <xdr:rowOff>85998</xdr:rowOff>
    </xdr:to>
    <xdr:graphicFrame macro="">
      <xdr:nvGraphicFramePr>
        <xdr:cNvPr id="5" name="Chart 4">
          <a:extLst>
            <a:ext uri="{FF2B5EF4-FFF2-40B4-BE49-F238E27FC236}">
              <a16:creationId xmlns:a16="http://schemas.microsoft.com/office/drawing/2014/main" id="{9B7EDF53-BF7E-4C76-B5B9-E3B1085DE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130448</xdr:colOff>
      <xdr:row>22</xdr:row>
      <xdr:rowOff>108389</xdr:rowOff>
    </xdr:from>
    <xdr:to>
      <xdr:col>15</xdr:col>
      <xdr:colOff>469175</xdr:colOff>
      <xdr:row>37</xdr:row>
      <xdr:rowOff>97372</xdr:rowOff>
    </xdr:to>
    <xdr:graphicFrame macro="">
      <xdr:nvGraphicFramePr>
        <xdr:cNvPr id="6" name="Chart 5">
          <a:extLst>
            <a:ext uri="{FF2B5EF4-FFF2-40B4-BE49-F238E27FC236}">
              <a16:creationId xmlns:a16="http://schemas.microsoft.com/office/drawing/2014/main" id="{4D967D4D-7962-4D61-BE8D-E3D81273E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307075</xdr:colOff>
      <xdr:row>38</xdr:row>
      <xdr:rowOff>11373</xdr:rowOff>
    </xdr:from>
    <xdr:to>
      <xdr:col>8</xdr:col>
      <xdr:colOff>22747</xdr:colOff>
      <xdr:row>53</xdr:row>
      <xdr:rowOff>25021</xdr:rowOff>
    </xdr:to>
    <xdr:graphicFrame macro="">
      <xdr:nvGraphicFramePr>
        <xdr:cNvPr id="7" name="Chart 6">
          <a:extLst>
            <a:ext uri="{FF2B5EF4-FFF2-40B4-BE49-F238E27FC236}">
              <a16:creationId xmlns:a16="http://schemas.microsoft.com/office/drawing/2014/main" id="{50D06462-7077-4E6C-AA51-EB198073A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555038</xdr:colOff>
      <xdr:row>22</xdr:row>
      <xdr:rowOff>131704</xdr:rowOff>
    </xdr:from>
    <xdr:to>
      <xdr:col>23</xdr:col>
      <xdr:colOff>282286</xdr:colOff>
      <xdr:row>37</xdr:row>
      <xdr:rowOff>116754</xdr:rowOff>
    </xdr:to>
    <xdr:graphicFrame macro="">
      <xdr:nvGraphicFramePr>
        <xdr:cNvPr id="8" name="Chart 7">
          <a:extLst>
            <a:ext uri="{FF2B5EF4-FFF2-40B4-BE49-F238E27FC236}">
              <a16:creationId xmlns:a16="http://schemas.microsoft.com/office/drawing/2014/main" id="{5E5E590B-A6FF-4BCE-B7D1-1227268E1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470609</xdr:colOff>
      <xdr:row>7</xdr:row>
      <xdr:rowOff>58067</xdr:rowOff>
    </xdr:from>
    <xdr:to>
      <xdr:col>26</xdr:col>
      <xdr:colOff>476396</xdr:colOff>
      <xdr:row>24</xdr:row>
      <xdr:rowOff>57874</xdr:rowOff>
    </xdr:to>
    <mc:AlternateContent xmlns:mc="http://schemas.openxmlformats.org/markup-compatibility/2006" xmlns:a14="http://schemas.microsoft.com/office/drawing/2010/main">
      <mc:Choice Requires="a14">
        <xdr:graphicFrame macro="">
          <xdr:nvGraphicFramePr>
            <xdr:cNvPr id="10" name="doctor_id">
              <a:extLst>
                <a:ext uri="{FF2B5EF4-FFF2-40B4-BE49-F238E27FC236}">
                  <a16:creationId xmlns:a16="http://schemas.microsoft.com/office/drawing/2014/main" id="{BB2BDDF2-B2B9-1D9A-CF59-51162DAED8D2}"/>
                </a:ext>
              </a:extLst>
            </xdr:cNvPr>
            <xdr:cNvGraphicFramePr/>
          </xdr:nvGraphicFramePr>
          <xdr:xfrm>
            <a:off x="0" y="0"/>
            <a:ext cx="0" cy="0"/>
          </xdr:xfrm>
          <a:graphic>
            <a:graphicData uri="http://schemas.microsoft.com/office/drawing/2010/slicer">
              <sle:slicer xmlns:sle="http://schemas.microsoft.com/office/drawing/2010/slicer" name="doctor_id"/>
            </a:graphicData>
          </a:graphic>
        </xdr:graphicFrame>
      </mc:Choice>
      <mc:Fallback xmlns="">
        <xdr:sp macro="" textlink="">
          <xdr:nvSpPr>
            <xdr:cNvPr id="0" name=""/>
            <xdr:cNvSpPr>
              <a:spLocks noTextEdit="1"/>
            </xdr:cNvSpPr>
          </xdr:nvSpPr>
          <xdr:spPr>
            <a:xfrm>
              <a:off x="14588776" y="1317484"/>
              <a:ext cx="1847287" cy="305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480253</xdr:colOff>
      <xdr:row>24</xdr:row>
      <xdr:rowOff>154522</xdr:rowOff>
    </xdr:from>
    <xdr:to>
      <xdr:col>26</xdr:col>
      <xdr:colOff>486040</xdr:colOff>
      <xdr:row>34</xdr:row>
      <xdr:rowOff>67519</xdr:rowOff>
    </xdr:to>
    <mc:AlternateContent xmlns:mc="http://schemas.openxmlformats.org/markup-compatibility/2006" xmlns:a14="http://schemas.microsoft.com/office/drawing/2010/main">
      <mc:Choice Requires="a14">
        <xdr:graphicFrame macro="">
          <xdr:nvGraphicFramePr>
            <xdr:cNvPr id="11" name="reason_for_visit">
              <a:extLst>
                <a:ext uri="{FF2B5EF4-FFF2-40B4-BE49-F238E27FC236}">
                  <a16:creationId xmlns:a16="http://schemas.microsoft.com/office/drawing/2014/main" id="{B93A9905-4C60-5A20-B7D6-4677254C8F11}"/>
                </a:ext>
              </a:extLst>
            </xdr:cNvPr>
            <xdr:cNvGraphicFramePr/>
          </xdr:nvGraphicFramePr>
          <xdr:xfrm>
            <a:off x="0" y="0"/>
            <a:ext cx="0" cy="0"/>
          </xdr:xfrm>
          <a:graphic>
            <a:graphicData uri="http://schemas.microsoft.com/office/drawing/2010/slicer">
              <sle:slicer xmlns:sle="http://schemas.microsoft.com/office/drawing/2010/slicer" name="reason_for_visit"/>
            </a:graphicData>
          </a:graphic>
        </xdr:graphicFrame>
      </mc:Choice>
      <mc:Fallback xmlns="">
        <xdr:sp macro="" textlink="">
          <xdr:nvSpPr>
            <xdr:cNvPr id="0" name=""/>
            <xdr:cNvSpPr>
              <a:spLocks noTextEdit="1"/>
            </xdr:cNvSpPr>
          </xdr:nvSpPr>
          <xdr:spPr>
            <a:xfrm>
              <a:off x="14598420" y="4472522"/>
              <a:ext cx="1847287" cy="1712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432025</xdr:colOff>
      <xdr:row>34</xdr:row>
      <xdr:rowOff>135231</xdr:rowOff>
    </xdr:from>
    <xdr:to>
      <xdr:col>26</xdr:col>
      <xdr:colOff>437812</xdr:colOff>
      <xdr:row>48</xdr:row>
      <xdr:rowOff>150785</xdr:rowOff>
    </xdr:to>
    <mc:AlternateContent xmlns:mc="http://schemas.openxmlformats.org/markup-compatibility/2006" xmlns:a14="http://schemas.microsoft.com/office/drawing/2010/main">
      <mc:Choice Requires="a14">
        <xdr:graphicFrame macro="">
          <xdr:nvGraphicFramePr>
            <xdr:cNvPr id="12" name="Months (appointment_date)">
              <a:extLst>
                <a:ext uri="{FF2B5EF4-FFF2-40B4-BE49-F238E27FC236}">
                  <a16:creationId xmlns:a16="http://schemas.microsoft.com/office/drawing/2014/main" id="{BD9F997D-C1E6-4797-716B-DB59A5785863}"/>
                </a:ext>
              </a:extLst>
            </xdr:cNvPr>
            <xdr:cNvGraphicFramePr/>
          </xdr:nvGraphicFramePr>
          <xdr:xfrm>
            <a:off x="0" y="0"/>
            <a:ext cx="0" cy="0"/>
          </xdr:xfrm>
          <a:graphic>
            <a:graphicData uri="http://schemas.microsoft.com/office/drawing/2010/slicer">
              <sle:slicer xmlns:sle="http://schemas.microsoft.com/office/drawing/2010/slicer" name="Months (appointment_date)"/>
            </a:graphicData>
          </a:graphic>
        </xdr:graphicFrame>
      </mc:Choice>
      <mc:Fallback xmlns="">
        <xdr:sp macro="" textlink="">
          <xdr:nvSpPr>
            <xdr:cNvPr id="0" name=""/>
            <xdr:cNvSpPr>
              <a:spLocks noTextEdit="1"/>
            </xdr:cNvSpPr>
          </xdr:nvSpPr>
          <xdr:spPr>
            <a:xfrm>
              <a:off x="14550192" y="6252398"/>
              <a:ext cx="1847287" cy="2534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144684</xdr:colOff>
      <xdr:row>38</xdr:row>
      <xdr:rowOff>0</xdr:rowOff>
    </xdr:from>
    <xdr:to>
      <xdr:col>15</xdr:col>
      <xdr:colOff>462988</xdr:colOff>
      <xdr:row>52</xdr:row>
      <xdr:rowOff>177478</xdr:rowOff>
    </xdr:to>
    <xdr:graphicFrame macro="">
      <xdr:nvGraphicFramePr>
        <xdr:cNvPr id="13" name="Chart 12">
          <a:extLst>
            <a:ext uri="{FF2B5EF4-FFF2-40B4-BE49-F238E27FC236}">
              <a16:creationId xmlns:a16="http://schemas.microsoft.com/office/drawing/2014/main" id="{2AA1D543-D622-4A24-A633-C125DD54B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26</xdr:col>
      <xdr:colOff>569094</xdr:colOff>
      <xdr:row>7</xdr:row>
      <xdr:rowOff>94854</xdr:rowOff>
    </xdr:from>
    <xdr:to>
      <xdr:col>29</xdr:col>
      <xdr:colOff>576843</xdr:colOff>
      <xdr:row>15</xdr:row>
      <xdr:rowOff>93949</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910AB32B-7A1E-D6CD-84FC-C0F2033AB60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528761" y="1354271"/>
              <a:ext cx="1849249" cy="1438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69273</xdr:colOff>
      <xdr:row>9</xdr:row>
      <xdr:rowOff>29689</xdr:rowOff>
    </xdr:from>
    <xdr:to>
      <xdr:col>27</xdr:col>
      <xdr:colOff>237506</xdr:colOff>
      <xdr:row>73</xdr:row>
      <xdr:rowOff>165101</xdr:rowOff>
    </xdr:to>
    <xdr:sp macro="" textlink="">
      <xdr:nvSpPr>
        <xdr:cNvPr id="9" name="Rectangle: Rounded Corners 8">
          <a:extLst>
            <a:ext uri="{FF2B5EF4-FFF2-40B4-BE49-F238E27FC236}">
              <a16:creationId xmlns:a16="http://schemas.microsoft.com/office/drawing/2014/main" id="{E143AB2C-B9E1-4723-53DB-56A4D5CC7605}"/>
            </a:ext>
          </a:extLst>
        </xdr:cNvPr>
        <xdr:cNvSpPr/>
      </xdr:nvSpPr>
      <xdr:spPr>
        <a:xfrm>
          <a:off x="678873" y="1629889"/>
          <a:ext cx="16017833" cy="11514612"/>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217714</xdr:colOff>
      <xdr:row>12</xdr:row>
      <xdr:rowOff>39585</xdr:rowOff>
    </xdr:from>
    <xdr:to>
      <xdr:col>8</xdr:col>
      <xdr:colOff>554181</xdr:colOff>
      <xdr:row>17</xdr:row>
      <xdr:rowOff>79169</xdr:rowOff>
    </xdr:to>
    <xdr:sp macro="" textlink="">
      <xdr:nvSpPr>
        <xdr:cNvPr id="10" name="Rectangle: Rounded Corners 9">
          <a:extLst>
            <a:ext uri="{FF2B5EF4-FFF2-40B4-BE49-F238E27FC236}">
              <a16:creationId xmlns:a16="http://schemas.microsoft.com/office/drawing/2014/main" id="{76647851-9B40-3585-ACD9-38E4C471C624}"/>
            </a:ext>
          </a:extLst>
        </xdr:cNvPr>
        <xdr:cNvSpPr/>
      </xdr:nvSpPr>
      <xdr:spPr>
        <a:xfrm>
          <a:off x="3285506" y="2177143"/>
          <a:ext cx="2177143" cy="930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49481</xdr:colOff>
      <xdr:row>12</xdr:row>
      <xdr:rowOff>19793</xdr:rowOff>
    </xdr:from>
    <xdr:to>
      <xdr:col>22</xdr:col>
      <xdr:colOff>385948</xdr:colOff>
      <xdr:row>17</xdr:row>
      <xdr:rowOff>59377</xdr:rowOff>
    </xdr:to>
    <xdr:sp macro="" textlink="">
      <xdr:nvSpPr>
        <xdr:cNvPr id="11" name="Rectangle: Rounded Corners 10">
          <a:extLst>
            <a:ext uri="{FF2B5EF4-FFF2-40B4-BE49-F238E27FC236}">
              <a16:creationId xmlns:a16="http://schemas.microsoft.com/office/drawing/2014/main" id="{D1408779-A82E-4CEF-8451-AD9DF408DD09}"/>
            </a:ext>
          </a:extLst>
        </xdr:cNvPr>
        <xdr:cNvSpPr/>
      </xdr:nvSpPr>
      <xdr:spPr>
        <a:xfrm>
          <a:off x="11707091" y="2157351"/>
          <a:ext cx="2177143" cy="930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3959</xdr:colOff>
      <xdr:row>12</xdr:row>
      <xdr:rowOff>63336</xdr:rowOff>
    </xdr:from>
    <xdr:to>
      <xdr:col>15</xdr:col>
      <xdr:colOff>340426</xdr:colOff>
      <xdr:row>17</xdr:row>
      <xdr:rowOff>102920</xdr:rowOff>
    </xdr:to>
    <xdr:sp macro="" textlink="">
      <xdr:nvSpPr>
        <xdr:cNvPr id="12" name="Rectangle: Rounded Corners 11">
          <a:extLst>
            <a:ext uri="{FF2B5EF4-FFF2-40B4-BE49-F238E27FC236}">
              <a16:creationId xmlns:a16="http://schemas.microsoft.com/office/drawing/2014/main" id="{CCE90B51-E458-46A5-ADEC-173B3D689C2B}"/>
            </a:ext>
          </a:extLst>
        </xdr:cNvPr>
        <xdr:cNvSpPr/>
      </xdr:nvSpPr>
      <xdr:spPr>
        <a:xfrm>
          <a:off x="7366660" y="2200894"/>
          <a:ext cx="2177143" cy="9302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514598</xdr:colOff>
      <xdr:row>12</xdr:row>
      <xdr:rowOff>89064</xdr:rowOff>
    </xdr:from>
    <xdr:to>
      <xdr:col>8</xdr:col>
      <xdr:colOff>247401</xdr:colOff>
      <xdr:row>13</xdr:row>
      <xdr:rowOff>138546</xdr:rowOff>
    </xdr:to>
    <xdr:sp macro="" textlink="">
      <xdr:nvSpPr>
        <xdr:cNvPr id="13" name="TextBox 12">
          <a:extLst>
            <a:ext uri="{FF2B5EF4-FFF2-40B4-BE49-F238E27FC236}">
              <a16:creationId xmlns:a16="http://schemas.microsoft.com/office/drawing/2014/main" id="{D500B425-98C5-5A05-5FD7-2B014D0D5190}"/>
            </a:ext>
          </a:extLst>
        </xdr:cNvPr>
        <xdr:cNvSpPr txBox="1"/>
      </xdr:nvSpPr>
      <xdr:spPr>
        <a:xfrm>
          <a:off x="3582390" y="2226622"/>
          <a:ext cx="1573479" cy="227612"/>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a:t>
          </a:r>
          <a:r>
            <a:rPr lang="en-US" sz="1100" b="1" baseline="0"/>
            <a:t>APPOINTMENTS </a:t>
          </a:r>
          <a:endParaRPr lang="en-IN" sz="1100" b="1"/>
        </a:p>
      </xdr:txBody>
    </xdr:sp>
    <xdr:clientData/>
  </xdr:twoCellAnchor>
  <xdr:twoCellAnchor>
    <xdr:from>
      <xdr:col>1</xdr:col>
      <xdr:colOff>603662</xdr:colOff>
      <xdr:row>20</xdr:row>
      <xdr:rowOff>138545</xdr:rowOff>
    </xdr:from>
    <xdr:to>
      <xdr:col>9</xdr:col>
      <xdr:colOff>330439</xdr:colOff>
      <xdr:row>35</xdr:row>
      <xdr:rowOff>154330</xdr:rowOff>
    </xdr:to>
    <xdr:graphicFrame macro="">
      <xdr:nvGraphicFramePr>
        <xdr:cNvPr id="2" name="Chart 1">
          <a:extLst>
            <a:ext uri="{FF2B5EF4-FFF2-40B4-BE49-F238E27FC236}">
              <a16:creationId xmlns:a16="http://schemas.microsoft.com/office/drawing/2014/main" id="{83102E2D-51EE-430D-B1DF-E78CC1823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425532</xdr:colOff>
      <xdr:row>20</xdr:row>
      <xdr:rowOff>148442</xdr:rowOff>
    </xdr:from>
    <xdr:to>
      <xdr:col>17</xdr:col>
      <xdr:colOff>144403</xdr:colOff>
      <xdr:row>35</xdr:row>
      <xdr:rowOff>164227</xdr:rowOff>
    </xdr:to>
    <xdr:graphicFrame macro="">
      <xdr:nvGraphicFramePr>
        <xdr:cNvPr id="3" name="Chart 2">
          <a:extLst>
            <a:ext uri="{FF2B5EF4-FFF2-40B4-BE49-F238E27FC236}">
              <a16:creationId xmlns:a16="http://schemas.microsoft.com/office/drawing/2014/main" id="{A347B217-300B-4FE1-A119-64B606319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257298</xdr:colOff>
      <xdr:row>20</xdr:row>
      <xdr:rowOff>138546</xdr:rowOff>
    </xdr:from>
    <xdr:to>
      <xdr:col>24</xdr:col>
      <xdr:colOff>597635</xdr:colOff>
      <xdr:row>35</xdr:row>
      <xdr:rowOff>154331</xdr:rowOff>
    </xdr:to>
    <xdr:graphicFrame macro="">
      <xdr:nvGraphicFramePr>
        <xdr:cNvPr id="4" name="Chart 3">
          <a:extLst>
            <a:ext uri="{FF2B5EF4-FFF2-40B4-BE49-F238E27FC236}">
              <a16:creationId xmlns:a16="http://schemas.microsoft.com/office/drawing/2014/main" id="{D5F86904-82A1-49C3-A33A-E2FF47216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603662</xdr:colOff>
      <xdr:row>36</xdr:row>
      <xdr:rowOff>98961</xdr:rowOff>
    </xdr:from>
    <xdr:to>
      <xdr:col>9</xdr:col>
      <xdr:colOff>322218</xdr:colOff>
      <xdr:row>51</xdr:row>
      <xdr:rowOff>114746</xdr:rowOff>
    </xdr:to>
    <xdr:graphicFrame macro="">
      <xdr:nvGraphicFramePr>
        <xdr:cNvPr id="5" name="Chart 4">
          <a:extLst>
            <a:ext uri="{FF2B5EF4-FFF2-40B4-BE49-F238E27FC236}">
              <a16:creationId xmlns:a16="http://schemas.microsoft.com/office/drawing/2014/main" id="{85BB2AFA-E71A-4B7D-9A62-B5B14FA79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415636</xdr:colOff>
      <xdr:row>36</xdr:row>
      <xdr:rowOff>98961</xdr:rowOff>
    </xdr:from>
    <xdr:to>
      <xdr:col>17</xdr:col>
      <xdr:colOff>142728</xdr:colOff>
      <xdr:row>51</xdr:row>
      <xdr:rowOff>114746</xdr:rowOff>
    </xdr:to>
    <xdr:graphicFrame macro="">
      <xdr:nvGraphicFramePr>
        <xdr:cNvPr id="6" name="Chart 5">
          <a:extLst>
            <a:ext uri="{FF2B5EF4-FFF2-40B4-BE49-F238E27FC236}">
              <a16:creationId xmlns:a16="http://schemas.microsoft.com/office/drawing/2014/main" id="{99020E41-903E-4BC4-8A68-B499C1EF7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267194</xdr:colOff>
      <xdr:row>36</xdr:row>
      <xdr:rowOff>98962</xdr:rowOff>
    </xdr:from>
    <xdr:to>
      <xdr:col>24</xdr:col>
      <xdr:colOff>610200</xdr:colOff>
      <xdr:row>51</xdr:row>
      <xdr:rowOff>110814</xdr:rowOff>
    </xdr:to>
    <xdr:graphicFrame macro="">
      <xdr:nvGraphicFramePr>
        <xdr:cNvPr id="7" name="Chart 6">
          <a:extLst>
            <a:ext uri="{FF2B5EF4-FFF2-40B4-BE49-F238E27FC236}">
              <a16:creationId xmlns:a16="http://schemas.microsoft.com/office/drawing/2014/main" id="{21A58F4A-3AD5-471B-8E1E-6724FA1BA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583871</xdr:colOff>
      <xdr:row>52</xdr:row>
      <xdr:rowOff>59377</xdr:rowOff>
    </xdr:from>
    <xdr:to>
      <xdr:col>13</xdr:col>
      <xdr:colOff>301742</xdr:colOff>
      <xdr:row>67</xdr:row>
      <xdr:rowOff>99827</xdr:rowOff>
    </xdr:to>
    <xdr:graphicFrame macro="">
      <xdr:nvGraphicFramePr>
        <xdr:cNvPr id="8" name="Chart 7">
          <a:extLst>
            <a:ext uri="{FF2B5EF4-FFF2-40B4-BE49-F238E27FC236}">
              <a16:creationId xmlns:a16="http://schemas.microsoft.com/office/drawing/2014/main" id="{5E0B730B-2322-40B5-B098-6D4D6208E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415636</xdr:colOff>
      <xdr:row>52</xdr:row>
      <xdr:rowOff>59376</xdr:rowOff>
    </xdr:from>
    <xdr:to>
      <xdr:col>21</xdr:col>
      <xdr:colOff>122306</xdr:colOff>
      <xdr:row>67</xdr:row>
      <xdr:rowOff>83740</xdr:rowOff>
    </xdr:to>
    <xdr:graphicFrame macro="">
      <xdr:nvGraphicFramePr>
        <xdr:cNvPr id="14" name="Chart 13">
          <a:extLst>
            <a:ext uri="{FF2B5EF4-FFF2-40B4-BE49-F238E27FC236}">
              <a16:creationId xmlns:a16="http://schemas.microsoft.com/office/drawing/2014/main" id="{2DB7DAEB-9F2A-4184-AD0A-C54343A1F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381000</xdr:colOff>
      <xdr:row>12</xdr:row>
      <xdr:rowOff>127000</xdr:rowOff>
    </xdr:from>
    <xdr:to>
      <xdr:col>15</xdr:col>
      <xdr:colOff>12700</xdr:colOff>
      <xdr:row>13</xdr:row>
      <xdr:rowOff>114300</xdr:rowOff>
    </xdr:to>
    <xdr:sp macro="" textlink="">
      <xdr:nvSpPr>
        <xdr:cNvPr id="15" name="TextBox 14">
          <a:extLst>
            <a:ext uri="{FF2B5EF4-FFF2-40B4-BE49-F238E27FC236}">
              <a16:creationId xmlns:a16="http://schemas.microsoft.com/office/drawing/2014/main" id="{5FEFCBBF-B25B-5F0B-0451-851D192C370F}"/>
            </a:ext>
          </a:extLst>
        </xdr:cNvPr>
        <xdr:cNvSpPr txBox="1"/>
      </xdr:nvSpPr>
      <xdr:spPr>
        <a:xfrm>
          <a:off x="7696200" y="2260600"/>
          <a:ext cx="1460500" cy="165100"/>
        </a:xfrm>
        <a:prstGeom prst="rect">
          <a:avLst/>
        </a:prstGeom>
        <a:solidFill>
          <a:schemeClr val="tx2">
            <a:lumMod val="90000"/>
            <a:lumOff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a:t> PATIENCE</a:t>
          </a:r>
        </a:p>
      </xdr:txBody>
    </xdr:sp>
    <xdr:clientData/>
  </xdr:twoCellAnchor>
  <xdr:twoCellAnchor>
    <xdr:from>
      <xdr:col>19</xdr:col>
      <xdr:colOff>254000</xdr:colOff>
      <xdr:row>12</xdr:row>
      <xdr:rowOff>127000</xdr:rowOff>
    </xdr:from>
    <xdr:to>
      <xdr:col>22</xdr:col>
      <xdr:colOff>101600</xdr:colOff>
      <xdr:row>13</xdr:row>
      <xdr:rowOff>114300</xdr:rowOff>
    </xdr:to>
    <xdr:sp macro="" textlink="">
      <xdr:nvSpPr>
        <xdr:cNvPr id="16" name="TextBox 15">
          <a:extLst>
            <a:ext uri="{FF2B5EF4-FFF2-40B4-BE49-F238E27FC236}">
              <a16:creationId xmlns:a16="http://schemas.microsoft.com/office/drawing/2014/main" id="{EDEC4EE4-5DEB-FA04-31FD-132550AC8B11}"/>
            </a:ext>
          </a:extLst>
        </xdr:cNvPr>
        <xdr:cNvSpPr txBox="1"/>
      </xdr:nvSpPr>
      <xdr:spPr>
        <a:xfrm>
          <a:off x="11836400" y="2260600"/>
          <a:ext cx="1676400" cy="165100"/>
        </a:xfrm>
        <a:prstGeom prst="rect">
          <a:avLst/>
        </a:prstGeom>
        <a:solidFill>
          <a:schemeClr val="tx2">
            <a:lumMod val="90000"/>
            <a:lumOff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YEAR</a:t>
          </a:r>
        </a:p>
      </xdr:txBody>
    </xdr:sp>
    <xdr:clientData/>
  </xdr:twoCellAnchor>
  <xdr:twoCellAnchor>
    <xdr:from>
      <xdr:col>6</xdr:col>
      <xdr:colOff>279400</xdr:colOff>
      <xdr:row>14</xdr:row>
      <xdr:rowOff>139700</xdr:rowOff>
    </xdr:from>
    <xdr:to>
      <xdr:col>7</xdr:col>
      <xdr:colOff>495300</xdr:colOff>
      <xdr:row>16</xdr:row>
      <xdr:rowOff>88900</xdr:rowOff>
    </xdr:to>
    <xdr:sp macro="" textlink="">
      <xdr:nvSpPr>
        <xdr:cNvPr id="17" name="TextBox 16">
          <a:extLst>
            <a:ext uri="{FF2B5EF4-FFF2-40B4-BE49-F238E27FC236}">
              <a16:creationId xmlns:a16="http://schemas.microsoft.com/office/drawing/2014/main" id="{96071A95-79D8-EBD3-B5E5-F1503D564D7C}"/>
            </a:ext>
          </a:extLst>
        </xdr:cNvPr>
        <xdr:cNvSpPr txBox="1"/>
      </xdr:nvSpPr>
      <xdr:spPr>
        <a:xfrm>
          <a:off x="3937000" y="2628900"/>
          <a:ext cx="8255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200</a:t>
          </a:r>
        </a:p>
      </xdr:txBody>
    </xdr:sp>
    <xdr:clientData/>
  </xdr:twoCellAnchor>
  <xdr:twoCellAnchor>
    <xdr:from>
      <xdr:col>13</xdr:col>
      <xdr:colOff>152400</xdr:colOff>
      <xdr:row>14</xdr:row>
      <xdr:rowOff>114300</xdr:rowOff>
    </xdr:from>
    <xdr:to>
      <xdr:col>14</xdr:col>
      <xdr:colOff>127000</xdr:colOff>
      <xdr:row>16</xdr:row>
      <xdr:rowOff>25400</xdr:rowOff>
    </xdr:to>
    <xdr:sp macro="" textlink="">
      <xdr:nvSpPr>
        <xdr:cNvPr id="18" name="TextBox 17">
          <a:extLst>
            <a:ext uri="{FF2B5EF4-FFF2-40B4-BE49-F238E27FC236}">
              <a16:creationId xmlns:a16="http://schemas.microsoft.com/office/drawing/2014/main" id="{E091809C-1A3E-7190-229B-3DEE389F7339}"/>
            </a:ext>
          </a:extLst>
        </xdr:cNvPr>
        <xdr:cNvSpPr txBox="1"/>
      </xdr:nvSpPr>
      <xdr:spPr>
        <a:xfrm>
          <a:off x="8077200" y="2603500"/>
          <a:ext cx="5842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40</a:t>
          </a:r>
        </a:p>
      </xdr:txBody>
    </xdr:sp>
    <xdr:clientData/>
  </xdr:twoCellAnchor>
  <xdr:twoCellAnchor>
    <xdr:from>
      <xdr:col>20</xdr:col>
      <xdr:colOff>63500</xdr:colOff>
      <xdr:row>14</xdr:row>
      <xdr:rowOff>63500</xdr:rowOff>
    </xdr:from>
    <xdr:to>
      <xdr:col>21</xdr:col>
      <xdr:colOff>444500</xdr:colOff>
      <xdr:row>15</xdr:row>
      <xdr:rowOff>114300</xdr:rowOff>
    </xdr:to>
    <xdr:sp macro="" textlink="">
      <xdr:nvSpPr>
        <xdr:cNvPr id="19" name="TextBox 18">
          <a:extLst>
            <a:ext uri="{FF2B5EF4-FFF2-40B4-BE49-F238E27FC236}">
              <a16:creationId xmlns:a16="http://schemas.microsoft.com/office/drawing/2014/main" id="{B0AD003C-4872-8806-F343-2A7D91595F20}"/>
            </a:ext>
          </a:extLst>
        </xdr:cNvPr>
        <xdr:cNvSpPr txBox="1"/>
      </xdr:nvSpPr>
      <xdr:spPr>
        <a:xfrm>
          <a:off x="12255500" y="2552700"/>
          <a:ext cx="9906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JAN-SEP 2023</a:t>
          </a:r>
        </a:p>
      </xdr:txBody>
    </xdr:sp>
    <xdr:clientData/>
  </xdr:twoCellAnchor>
  <xdr:twoCellAnchor editAs="oneCell">
    <xdr:from>
      <xdr:col>28</xdr:col>
      <xdr:colOff>33618</xdr:colOff>
      <xdr:row>9</xdr:row>
      <xdr:rowOff>122518</xdr:rowOff>
    </xdr:from>
    <xdr:to>
      <xdr:col>34</xdr:col>
      <xdr:colOff>212911</xdr:colOff>
      <xdr:row>26</xdr:row>
      <xdr:rowOff>158308</xdr:rowOff>
    </xdr:to>
    <mc:AlternateContent xmlns:mc="http://schemas.openxmlformats.org/markup-compatibility/2006">
      <mc:Choice xmlns:a14="http://schemas.microsoft.com/office/drawing/2010/main" Requires="a14">
        <xdr:graphicFrame macro="">
          <xdr:nvGraphicFramePr>
            <xdr:cNvPr id="20" name="doctor_id 1">
              <a:extLst>
                <a:ext uri="{FF2B5EF4-FFF2-40B4-BE49-F238E27FC236}">
                  <a16:creationId xmlns:a16="http://schemas.microsoft.com/office/drawing/2014/main" id="{65C450F4-8CFF-460C-9DD4-3503DCDEFAB8}"/>
                </a:ext>
              </a:extLst>
            </xdr:cNvPr>
            <xdr:cNvGraphicFramePr/>
          </xdr:nvGraphicFramePr>
          <xdr:xfrm>
            <a:off x="0" y="0"/>
            <a:ext cx="0" cy="0"/>
          </xdr:xfrm>
          <a:graphic>
            <a:graphicData uri="http://schemas.microsoft.com/office/drawing/2010/slicer">
              <sle:slicer xmlns:sle="http://schemas.microsoft.com/office/drawing/2010/slicer" name="doctor_id 1"/>
            </a:graphicData>
          </a:graphic>
        </xdr:graphicFrame>
      </mc:Choice>
      <mc:Fallback>
        <xdr:sp macro="" textlink="">
          <xdr:nvSpPr>
            <xdr:cNvPr id="0" name=""/>
            <xdr:cNvSpPr>
              <a:spLocks noTextEdit="1"/>
            </xdr:cNvSpPr>
          </xdr:nvSpPr>
          <xdr:spPr>
            <a:xfrm>
              <a:off x="16976912" y="1736165"/>
              <a:ext cx="3809999" cy="3083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44824</xdr:colOff>
      <xdr:row>28</xdr:row>
      <xdr:rowOff>11206</xdr:rowOff>
    </xdr:from>
    <xdr:to>
      <xdr:col>34</xdr:col>
      <xdr:colOff>201706</xdr:colOff>
      <xdr:row>36</xdr:row>
      <xdr:rowOff>27234</xdr:rowOff>
    </xdr:to>
    <mc:AlternateContent xmlns:mc="http://schemas.openxmlformats.org/markup-compatibility/2006">
      <mc:Choice xmlns:a14="http://schemas.microsoft.com/office/drawing/2010/main" Requires="a14">
        <xdr:graphicFrame macro="">
          <xdr:nvGraphicFramePr>
            <xdr:cNvPr id="21" name="status 1">
              <a:extLst>
                <a:ext uri="{FF2B5EF4-FFF2-40B4-BE49-F238E27FC236}">
                  <a16:creationId xmlns:a16="http://schemas.microsoft.com/office/drawing/2014/main" id="{19D73AF9-E8CA-4604-BC3F-5D7BFE26C300}"/>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6988118" y="5031441"/>
              <a:ext cx="3787588" cy="1450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67235</xdr:colOff>
      <xdr:row>36</xdr:row>
      <xdr:rowOff>167342</xdr:rowOff>
    </xdr:from>
    <xdr:to>
      <xdr:col>34</xdr:col>
      <xdr:colOff>179294</xdr:colOff>
      <xdr:row>46</xdr:row>
      <xdr:rowOff>101506</xdr:rowOff>
    </xdr:to>
    <mc:AlternateContent xmlns:mc="http://schemas.openxmlformats.org/markup-compatibility/2006">
      <mc:Choice xmlns:a14="http://schemas.microsoft.com/office/drawing/2010/main" Requires="a14">
        <xdr:graphicFrame macro="">
          <xdr:nvGraphicFramePr>
            <xdr:cNvPr id="22" name="reason_for_visit 1">
              <a:extLst>
                <a:ext uri="{FF2B5EF4-FFF2-40B4-BE49-F238E27FC236}">
                  <a16:creationId xmlns:a16="http://schemas.microsoft.com/office/drawing/2014/main" id="{CC307A7F-C2D9-405B-AD74-2FB05EA65C50}"/>
                </a:ext>
              </a:extLst>
            </xdr:cNvPr>
            <xdr:cNvGraphicFramePr/>
          </xdr:nvGraphicFramePr>
          <xdr:xfrm>
            <a:off x="0" y="0"/>
            <a:ext cx="0" cy="0"/>
          </xdr:xfrm>
          <a:graphic>
            <a:graphicData uri="http://schemas.microsoft.com/office/drawing/2010/slicer">
              <sle:slicer xmlns:sle="http://schemas.microsoft.com/office/drawing/2010/slicer" name="reason_for_visit 1"/>
            </a:graphicData>
          </a:graphic>
        </xdr:graphicFrame>
      </mc:Choice>
      <mc:Fallback>
        <xdr:sp macro="" textlink="">
          <xdr:nvSpPr>
            <xdr:cNvPr id="0" name=""/>
            <xdr:cNvSpPr>
              <a:spLocks noTextEdit="1"/>
            </xdr:cNvSpPr>
          </xdr:nvSpPr>
          <xdr:spPr>
            <a:xfrm>
              <a:off x="17010529" y="6621930"/>
              <a:ext cx="3742765" cy="172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89646</xdr:colOff>
      <xdr:row>47</xdr:row>
      <xdr:rowOff>33617</xdr:rowOff>
    </xdr:from>
    <xdr:to>
      <xdr:col>34</xdr:col>
      <xdr:colOff>168087</xdr:colOff>
      <xdr:row>61</xdr:row>
      <xdr:rowOff>78805</xdr:rowOff>
    </xdr:to>
    <mc:AlternateContent xmlns:mc="http://schemas.openxmlformats.org/markup-compatibility/2006">
      <mc:Choice xmlns:a14="http://schemas.microsoft.com/office/drawing/2010/main" Requires="a14">
        <xdr:graphicFrame macro="">
          <xdr:nvGraphicFramePr>
            <xdr:cNvPr id="24" name="Months (appointment_date) 1">
              <a:extLst>
                <a:ext uri="{FF2B5EF4-FFF2-40B4-BE49-F238E27FC236}">
                  <a16:creationId xmlns:a16="http://schemas.microsoft.com/office/drawing/2014/main" id="{1A0E81C2-4BCE-4C3C-96B3-1325B86774AD}"/>
                </a:ext>
              </a:extLst>
            </xdr:cNvPr>
            <xdr:cNvGraphicFramePr/>
          </xdr:nvGraphicFramePr>
          <xdr:xfrm>
            <a:off x="0" y="0"/>
            <a:ext cx="0" cy="0"/>
          </xdr:xfrm>
          <a:graphic>
            <a:graphicData uri="http://schemas.microsoft.com/office/drawing/2010/slicer">
              <sle:slicer xmlns:sle="http://schemas.microsoft.com/office/drawing/2010/slicer" name="Months (appointment_date) 1"/>
            </a:graphicData>
          </a:graphic>
        </xdr:graphicFrame>
      </mc:Choice>
      <mc:Fallback>
        <xdr:sp macro="" textlink="">
          <xdr:nvSpPr>
            <xdr:cNvPr id="0" name=""/>
            <xdr:cNvSpPr>
              <a:spLocks noTextEdit="1"/>
            </xdr:cNvSpPr>
          </xdr:nvSpPr>
          <xdr:spPr>
            <a:xfrm>
              <a:off x="17032940" y="8460441"/>
              <a:ext cx="3709147" cy="2555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8</xdr:row>
      <xdr:rowOff>57150</xdr:rowOff>
    </xdr:from>
    <xdr:to>
      <xdr:col>10</xdr:col>
      <xdr:colOff>297180</xdr:colOff>
      <xdr:row>23</xdr:row>
      <xdr:rowOff>57150</xdr:rowOff>
    </xdr:to>
    <xdr:graphicFrame macro="">
      <xdr:nvGraphicFramePr>
        <xdr:cNvPr id="3" name="Chart 2">
          <a:extLst>
            <a:ext uri="{FF2B5EF4-FFF2-40B4-BE49-F238E27FC236}">
              <a16:creationId xmlns:a16="http://schemas.microsoft.com/office/drawing/2014/main" id="{76345D0C-03A8-FCE0-C68C-98693C6D9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182880</xdr:colOff>
      <xdr:row>8</xdr:row>
      <xdr:rowOff>57150</xdr:rowOff>
    </xdr:from>
    <xdr:to>
      <xdr:col>10</xdr:col>
      <xdr:colOff>487680</xdr:colOff>
      <xdr:row>23</xdr:row>
      <xdr:rowOff>57150</xdr:rowOff>
    </xdr:to>
    <xdr:graphicFrame macro="">
      <xdr:nvGraphicFramePr>
        <xdr:cNvPr id="2" name="Chart 1">
          <a:extLst>
            <a:ext uri="{FF2B5EF4-FFF2-40B4-BE49-F238E27FC236}">
              <a16:creationId xmlns:a16="http://schemas.microsoft.com/office/drawing/2014/main" id="{9AB3E6AF-DB39-8434-4FAD-090CAE8E0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182880</xdr:colOff>
      <xdr:row>8</xdr:row>
      <xdr:rowOff>57150</xdr:rowOff>
    </xdr:from>
    <xdr:to>
      <xdr:col>10</xdr:col>
      <xdr:colOff>487680</xdr:colOff>
      <xdr:row>23</xdr:row>
      <xdr:rowOff>57150</xdr:rowOff>
    </xdr:to>
    <xdr:graphicFrame macro="">
      <xdr:nvGraphicFramePr>
        <xdr:cNvPr id="2" name="Chart 1">
          <a:extLst>
            <a:ext uri="{FF2B5EF4-FFF2-40B4-BE49-F238E27FC236}">
              <a16:creationId xmlns:a16="http://schemas.microsoft.com/office/drawing/2014/main" id="{D5715A7D-13C8-7300-1B72-229297B15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601980</xdr:colOff>
      <xdr:row>8</xdr:row>
      <xdr:rowOff>57150</xdr:rowOff>
    </xdr:from>
    <xdr:to>
      <xdr:col>10</xdr:col>
      <xdr:colOff>297180</xdr:colOff>
      <xdr:row>23</xdr:row>
      <xdr:rowOff>57150</xdr:rowOff>
    </xdr:to>
    <xdr:graphicFrame macro="">
      <xdr:nvGraphicFramePr>
        <xdr:cNvPr id="2" name="Chart 1">
          <a:extLst>
            <a:ext uri="{FF2B5EF4-FFF2-40B4-BE49-F238E27FC236}">
              <a16:creationId xmlns:a16="http://schemas.microsoft.com/office/drawing/2014/main" id="{D6BD1A0E-9757-DD48-C7D5-8943CF627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152400</xdr:colOff>
      <xdr:row>8</xdr:row>
      <xdr:rowOff>148590</xdr:rowOff>
    </xdr:from>
    <xdr:to>
      <xdr:col>10</xdr:col>
      <xdr:colOff>457200</xdr:colOff>
      <xdr:row>23</xdr:row>
      <xdr:rowOff>148590</xdr:rowOff>
    </xdr:to>
    <xdr:graphicFrame macro="">
      <xdr:nvGraphicFramePr>
        <xdr:cNvPr id="2" name="Chart 1">
          <a:extLst>
            <a:ext uri="{FF2B5EF4-FFF2-40B4-BE49-F238E27FC236}">
              <a16:creationId xmlns:a16="http://schemas.microsoft.com/office/drawing/2014/main" id="{6FCB0A7B-3E6F-1F41-FCBF-495403EDE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335280</xdr:colOff>
      <xdr:row>8</xdr:row>
      <xdr:rowOff>57150</xdr:rowOff>
    </xdr:from>
    <xdr:to>
      <xdr:col>11</xdr:col>
      <xdr:colOff>30480</xdr:colOff>
      <xdr:row>23</xdr:row>
      <xdr:rowOff>57150</xdr:rowOff>
    </xdr:to>
    <xdr:graphicFrame macro="">
      <xdr:nvGraphicFramePr>
        <xdr:cNvPr id="2" name="Chart 1">
          <a:extLst>
            <a:ext uri="{FF2B5EF4-FFF2-40B4-BE49-F238E27FC236}">
              <a16:creationId xmlns:a16="http://schemas.microsoft.com/office/drawing/2014/main" id="{282AE949-2027-1443-1D0D-5CC2431D7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1.436660995372" createdVersion="8" refreshedVersion="8" minRefreshableVersion="3" recordCount="200" xr:uid="{D4C263F2-B077-40E3-8047-BD8B423BD55B}">
  <cacheSource type="worksheet">
    <worksheetSource name="Table1"/>
  </cacheSource>
  <cacheFields count="22">
    <cacheField name="appointment_id" numFmtId="0">
      <sharedItems count="200">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haredItems>
    </cacheField>
    <cacheField name="patient_id" numFmtId="0">
      <sharedItems/>
    </cacheField>
    <cacheField name="doctor_id" numFmtId="0">
      <sharedItems count="10">
        <s v="D009"/>
        <s v="D004"/>
        <s v="D006"/>
        <s v="D003"/>
        <s v="D007"/>
        <s v="D010"/>
        <s v="D002"/>
        <s v="D008"/>
        <s v="D001"/>
        <s v="D005"/>
      </sharedItems>
    </cacheField>
    <cacheField name="appointment_date" numFmtId="14">
      <sharedItems containsSemiMixedTypes="0" containsNonDate="0" containsDate="1" containsString="0" minDate="2023-01-01T00:00:00" maxDate="2023-12-31T00:00:00" count="158">
        <d v="2023-08-09T00:00:00"/>
        <d v="2023-06-09T00:00:00"/>
        <d v="2023-06-28T00:00:00"/>
        <d v="2023-09-01T00:00:00"/>
        <d v="2023-07-06T00:00:00"/>
        <d v="2023-06-19T00:00:00"/>
        <d v="2023-04-09T00:00:00"/>
        <d v="2023-05-24T00:00:00"/>
        <d v="2023-03-05T00:00:00"/>
        <d v="2023-01-13T00:00:00"/>
        <d v="2023-11-12T00:00:00"/>
        <d v="2023-05-07T00:00:00"/>
        <d v="2023-08-16T00:00:00"/>
        <d v="2023-05-25T00:00:00"/>
        <d v="2023-01-15T00:00:00"/>
        <d v="2023-06-30T00:00:00"/>
        <d v="2023-07-11T00:00:00"/>
        <d v="2023-11-14T00:00:00"/>
        <d v="2023-02-06T00:00:00"/>
        <d v="2023-12-05T00:00:00"/>
        <d v="2023-04-24T00:00:00"/>
        <d v="2023-05-09T00:00:00"/>
        <d v="2023-06-21T00:00:00"/>
        <d v="2023-02-25T00:00:00"/>
        <d v="2023-03-17T00:00:00"/>
        <d v="2023-10-29T00:00:00"/>
        <d v="2023-06-25T00:00:00"/>
        <d v="2023-08-29T00:00:00"/>
        <d v="2023-04-04T00:00:00"/>
        <d v="2023-11-06T00:00:00"/>
        <d v="2023-09-23T00:00:00"/>
        <d v="2023-06-13T00:00:00"/>
        <d v="2023-04-18T00:00:00"/>
        <d v="2023-01-08T00:00:00"/>
        <d v="2023-03-28T00:00:00"/>
        <d v="2023-02-23T00:00:00"/>
        <d v="2023-04-17T00:00:00"/>
        <d v="2023-03-27T00:00:00"/>
        <d v="2023-01-01T00:00:00"/>
        <d v="2023-03-21T00:00:00"/>
        <d v="2023-03-29T00:00:00"/>
        <d v="2023-09-20T00:00:00"/>
        <d v="2023-09-28T00:00:00"/>
        <d v="2023-12-20T00:00:00"/>
        <d v="2023-05-02T00:00:00"/>
        <d v="2023-01-16T00:00:00"/>
        <d v="2023-04-30T00:00:00"/>
        <d v="2023-02-04T00:00:00"/>
        <d v="2023-07-12T00:00:00"/>
        <d v="2023-02-12T00:00:00"/>
        <d v="2023-12-16T00:00:00"/>
        <d v="2023-10-06T00:00:00"/>
        <d v="2023-01-02T00:00:00"/>
        <d v="2023-04-15T00:00:00"/>
        <d v="2023-03-09T00:00:00"/>
        <d v="2023-11-22T00:00:00"/>
        <d v="2023-06-14T00:00:00"/>
        <d v="2023-06-29T00:00:00"/>
        <d v="2023-05-31T00:00:00"/>
        <d v="2023-05-10T00:00:00"/>
        <d v="2023-08-10T00:00:00"/>
        <d v="2023-03-14T00:00:00"/>
        <d v="2023-08-26T00:00:00"/>
        <d v="2023-01-26T00:00:00"/>
        <d v="2023-06-12T00:00:00"/>
        <d v="2023-12-24T00:00:00"/>
        <d v="2023-07-23T00:00:00"/>
        <d v="2023-05-08T00:00:00"/>
        <d v="2023-11-27T00:00:00"/>
        <d v="2023-12-14T00:00:00"/>
        <d v="2023-09-17T00:00:00"/>
        <d v="2023-12-26T00:00:00"/>
        <d v="2023-06-26T00:00:00"/>
        <d v="2023-01-06T00:00:00"/>
        <d v="2023-01-20T00:00:00"/>
        <d v="2023-11-07T00:00:00"/>
        <d v="2023-02-18T00:00:00"/>
        <d v="2023-10-19T00:00:00"/>
        <d v="2023-02-14T00:00:00"/>
        <d v="2023-06-01T00:00:00"/>
        <d v="2023-06-11T00:00:00"/>
        <d v="2023-01-30T00:00:00"/>
        <d v="2023-04-08T00:00:00"/>
        <d v="2023-07-07T00:00:00"/>
        <d v="2023-05-06T00:00:00"/>
        <d v="2023-07-04T00:00:00"/>
        <d v="2023-03-02T00:00:00"/>
        <d v="2023-09-21T00:00:00"/>
        <d v="2023-10-25T00:00:00"/>
        <d v="2023-01-24T00:00:00"/>
        <d v="2023-08-14T00:00:00"/>
        <d v="2023-04-21T00:00:00"/>
        <d v="2023-07-29T00:00:00"/>
        <d v="2023-07-19T00:00:00"/>
        <d v="2023-05-22T00:00:00"/>
        <d v="2023-01-11T00:00:00"/>
        <d v="2023-11-24T00:00:00"/>
        <d v="2023-08-08T00:00:00"/>
        <d v="2023-06-20T00:00:00"/>
        <d v="2023-12-18T00:00:00"/>
        <d v="2023-12-08T00:00:00"/>
        <d v="2023-04-07T00:00:00"/>
        <d v="2023-02-28T00:00:00"/>
        <d v="2023-03-16T00:00:00"/>
        <d v="2023-11-02T00:00:00"/>
        <d v="2023-11-13T00:00:00"/>
        <d v="2023-08-25T00:00:00"/>
        <d v="2023-05-11T00:00:00"/>
        <d v="2023-07-26T00:00:00"/>
        <d v="2023-03-23T00:00:00"/>
        <d v="2023-10-17T00:00:00"/>
        <d v="2023-09-09T00:00:00"/>
        <d v="2023-05-13T00:00:00"/>
        <d v="2023-10-10T00:00:00"/>
        <d v="2023-02-05T00:00:00"/>
        <d v="2023-06-15T00:00:00"/>
        <d v="2023-11-01T00:00:00"/>
        <d v="2023-11-11T00:00:00"/>
        <d v="2023-01-05T00:00:00"/>
        <d v="2023-12-06T00:00:00"/>
        <d v="2023-01-28T00:00:00"/>
        <d v="2023-04-14T00:00:00"/>
        <d v="2023-07-08T00:00:00"/>
        <d v="2023-03-06T00:00:00"/>
        <d v="2023-01-03T00:00:00"/>
        <d v="2023-05-12T00:00:00"/>
        <d v="2023-12-17T00:00:00"/>
        <d v="2023-06-17T00:00:00"/>
        <d v="2023-06-27T00:00:00"/>
        <d v="2023-07-28T00:00:00"/>
        <d v="2023-01-12T00:00:00"/>
        <d v="2023-11-15T00:00:00"/>
        <d v="2023-09-29T00:00:00"/>
        <d v="2023-07-24T00:00:00"/>
        <d v="2023-03-03T00:00:00"/>
        <d v="2023-06-04T00:00:00"/>
        <d v="2023-10-31T00:00:00"/>
        <d v="2023-10-22T00:00:00"/>
        <d v="2023-04-26T00:00:00"/>
        <d v="2023-01-17T00:00:00"/>
        <d v="2023-03-08T00:00:00"/>
        <d v="2023-01-07T00:00:00"/>
        <d v="2023-09-03T00:00:00"/>
        <d v="2023-04-12T00:00:00"/>
        <d v="2023-02-03T00:00:00"/>
        <d v="2023-02-26T00:00:00"/>
        <d v="2023-02-13T00:00:00"/>
        <d v="2023-10-05T00:00:00"/>
        <d v="2023-11-16T00:00:00"/>
        <d v="2023-08-31T00:00:00"/>
        <d v="2023-09-15T00:00:00"/>
        <d v="2023-04-06T00:00:00"/>
        <d v="2023-08-19T00:00:00"/>
        <d v="2023-10-26T00:00:00"/>
        <d v="2023-04-01T00:00:00"/>
        <d v="2023-05-15T00:00:00"/>
        <d v="2023-05-01T00:00:00"/>
        <d v="2023-12-30T00:00:00"/>
      </sharedItems>
      <fieldGroup par="21"/>
    </cacheField>
    <cacheField name="appointment_time" numFmtId="21">
      <sharedItems containsSemiMixedTypes="0" containsNonDate="0" containsDate="1" containsString="0" minDate="1899-12-30T08:00:00" maxDate="1899-12-30T17:45:00"/>
    </cacheField>
    <cacheField name="reason_for_visit" numFmtId="0">
      <sharedItems count="5">
        <s v="Therapy"/>
        <s v="Consultation"/>
        <s v="Emergency"/>
        <s v="Checkup"/>
        <s v="Follow-up"/>
      </sharedItems>
    </cacheField>
    <cacheField name="status" numFmtId="0">
      <sharedItems count="4">
        <s v="Scheduled"/>
        <s v="No-show"/>
        <s v="Cancelled"/>
        <s v="Completed"/>
      </sharedItems>
    </cacheField>
    <cacheField name="first_name" numFmtId="0">
      <sharedItems/>
    </cacheField>
    <cacheField name="last_name" numFmtId="0">
      <sharedItems/>
    </cacheField>
    <cacheField name="full_name" numFmtId="0">
      <sharedItems/>
    </cacheField>
    <cacheField name="gender" numFmtId="0">
      <sharedItems/>
    </cacheField>
    <cacheField name="date_of_birth" numFmtId="14">
      <sharedItems containsSemiMixedTypes="0" containsNonDate="0" containsDate="1" containsString="0" minDate="1950-01-26T00:00:00" maxDate="2005-05-16T00:00:00"/>
    </cacheField>
    <cacheField name="age" numFmtId="49">
      <sharedItems containsSemiMixedTypes="0" containsString="0" containsNumber="1" containsInteger="1" minValue="21" maxValue="76"/>
    </cacheField>
    <cacheField name="contact_number" numFmtId="0">
      <sharedItems containsSemiMixedTypes="0" containsString="0" containsNumber="1" containsInteger="1" minValue="6141951830" maxValue="9900972256"/>
    </cacheField>
    <cacheField name="address" numFmtId="0">
      <sharedItems/>
    </cacheField>
    <cacheField name="registration_date" numFmtId="14">
      <sharedItems containsSemiMixedTypes="0" containsNonDate="0" containsDate="1" containsString="0" minDate="2021-01-23T00:00:00" maxDate="2023-12-13T00:00:00"/>
    </cacheField>
    <cacheField name="insurance_provider" numFmtId="0">
      <sharedItems count="4">
        <s v="WellnessCorp"/>
        <s v="MedCare Plus"/>
        <s v="PulseSecure"/>
        <s v="HealthIndia"/>
      </sharedItems>
    </cacheField>
    <cacheField name="insurance_number" numFmtId="0">
      <sharedItems/>
    </cacheField>
    <cacheField name="email" numFmtId="0">
      <sharedItems/>
    </cacheField>
    <cacheField name="age group" numFmtId="14">
      <sharedItems count="3">
        <s v="SENIOR"/>
        <s v="MIDDLE AGE"/>
        <s v="YOUNG ADULT"/>
      </sharedItems>
    </cacheField>
    <cacheField name="Days (appointment_date)" numFmtId="0" databaseField="0">
      <fieldGroup base="3">
        <rangePr groupBy="days" startDate="2023-01-01T00:00:00" endDate="2023-12-3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3"/>
        </groupItems>
      </fieldGroup>
    </cacheField>
    <cacheField name="Months (appointment_date)" numFmtId="0" databaseField="0">
      <fieldGroup base="3">
        <rangePr groupBy="months" startDate="2023-01-01T00:00:00" endDate="2023-12-31T00:00:00"/>
        <groupItems count="14">
          <s v="&lt;01-01-2023"/>
          <s v="Jan"/>
          <s v="Feb"/>
          <s v="Mar"/>
          <s v="Apr"/>
          <s v="May"/>
          <s v="Jun"/>
          <s v="Jul"/>
          <s v="Aug"/>
          <s v="Sep"/>
          <s v="Oct"/>
          <s v="Nov"/>
          <s v="Dec"/>
          <s v="&gt;31-12-2023"/>
        </groupItems>
      </fieldGroup>
    </cacheField>
  </cacheFields>
  <extLst>
    <ext xmlns:x14="http://schemas.microsoft.com/office/spreadsheetml/2009/9/main" uri="{725AE2AE-9491-48be-B2B4-4EB974FC3084}">
      <x14:pivotCacheDefinition pivotCacheId="1504799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s v="P034"/>
    <x v="0"/>
    <x v="0"/>
    <d v="1899-12-30T15:15:00"/>
    <x v="0"/>
    <x v="0"/>
    <s v="Alex"/>
    <s v="Smith"/>
    <s v="Alex Smith"/>
    <s v="F"/>
    <d v="1950-01-26T00:00:00"/>
    <n v="76"/>
    <n v="8374657733"/>
    <s v="321 Maple Dr"/>
    <d v="2023-06-18T00:00:00"/>
    <x v="0"/>
    <s v="INS653880"/>
    <s v="alex.smith@mail.com"/>
    <x v="0"/>
  </r>
  <r>
    <x v="1"/>
    <s v="P032"/>
    <x v="1"/>
    <x v="1"/>
    <d v="1899-12-30T14:30:00"/>
    <x v="0"/>
    <x v="1"/>
    <s v="Alex"/>
    <s v="Moore"/>
    <s v="Alex Moore"/>
    <s v="M"/>
    <d v="1981-01-08T00:00:00"/>
    <n v="45"/>
    <n v="8102183595"/>
    <s v="123 Elm St"/>
    <d v="2021-10-02T00:00:00"/>
    <x v="1"/>
    <s v="INS335362"/>
    <s v="alex.moore@mail.com"/>
    <x v="1"/>
  </r>
  <r>
    <x v="2"/>
    <s v="P048"/>
    <x v="1"/>
    <x v="2"/>
    <d v="1899-12-30T08:00:00"/>
    <x v="1"/>
    <x v="2"/>
    <s v="Emily"/>
    <s v="Miller"/>
    <s v="Emily Miller"/>
    <s v="M"/>
    <d v="1983-03-24T00:00:00"/>
    <n v="43"/>
    <n v="8720989381"/>
    <s v="123 Elm St"/>
    <d v="2023-06-19T00:00:00"/>
    <x v="2"/>
    <s v="INS694319"/>
    <s v="emily.miller@mail.com"/>
    <x v="1"/>
  </r>
  <r>
    <x v="3"/>
    <s v="P025"/>
    <x v="2"/>
    <x v="3"/>
    <d v="1899-12-30T09:15:00"/>
    <x v="1"/>
    <x v="2"/>
    <s v="Robert"/>
    <s v="Wilson"/>
    <s v="Robert Wilson"/>
    <s v="M"/>
    <d v="1966-08-14T00:00:00"/>
    <n v="60"/>
    <n v="7482069727"/>
    <s v="123 Elm St"/>
    <d v="2021-09-09T00:00:00"/>
    <x v="3"/>
    <s v="INS833429"/>
    <s v="robert.wilson@mail.com"/>
    <x v="0"/>
  </r>
  <r>
    <x v="4"/>
    <s v="P040"/>
    <x v="3"/>
    <x v="4"/>
    <d v="1899-12-30T12:45:00"/>
    <x v="2"/>
    <x v="1"/>
    <s v="Emily"/>
    <s v="Williams"/>
    <s v="Emily Williams"/>
    <s v="M"/>
    <d v="1972-05-30T00:00:00"/>
    <n v="54"/>
    <n v="7587653815"/>
    <s v="456 Oak Ave"/>
    <d v="2021-10-16T00:00:00"/>
    <x v="2"/>
    <s v="INS320984"/>
    <s v="emily.williams@mail.com"/>
    <x v="1"/>
  </r>
  <r>
    <x v="5"/>
    <s v="P045"/>
    <x v="2"/>
    <x v="5"/>
    <d v="1899-12-30T16:15:00"/>
    <x v="3"/>
    <x v="0"/>
    <s v="Linda"/>
    <s v="Miller"/>
    <s v="Linda Miller"/>
    <s v="F"/>
    <d v="1966-04-25T00:00:00"/>
    <n v="60"/>
    <n v="7579616535"/>
    <s v="321 Maple Dr"/>
    <d v="2021-01-23T00:00:00"/>
    <x v="1"/>
    <s v="INS701863"/>
    <s v="linda.miller@mail.com"/>
    <x v="0"/>
  </r>
  <r>
    <x v="6"/>
    <s v="P001"/>
    <x v="4"/>
    <x v="6"/>
    <d v="1899-12-30T10:30:00"/>
    <x v="1"/>
    <x v="0"/>
    <s v="David"/>
    <s v="Williams"/>
    <s v="David Williams"/>
    <s v="F"/>
    <d v="1955-06-04T00:00:00"/>
    <n v="71"/>
    <n v="6939585183"/>
    <s v="789 Pine Rd"/>
    <d v="2022-06-23T00:00:00"/>
    <x v="0"/>
    <s v="INS840674"/>
    <s v="david.williams@mail.com"/>
    <x v="0"/>
  </r>
  <r>
    <x v="7"/>
    <s v="P016"/>
    <x v="5"/>
    <x v="7"/>
    <d v="1899-12-30T08:45:00"/>
    <x v="1"/>
    <x v="2"/>
    <s v="Michael"/>
    <s v="Taylor"/>
    <s v="Michael Taylor"/>
    <s v="M"/>
    <d v="2000-07-22T00:00:00"/>
    <n v="26"/>
    <n v="7223380592"/>
    <s v="789 Pine Rd"/>
    <d v="2021-07-23T00:00:00"/>
    <x v="2"/>
    <s v="INS156958"/>
    <s v="michael.taylor@mail.com"/>
    <x v="2"/>
  </r>
  <r>
    <x v="8"/>
    <s v="P039"/>
    <x v="5"/>
    <x v="8"/>
    <d v="1899-12-30T13:45:00"/>
    <x v="4"/>
    <x v="0"/>
    <s v="Jane"/>
    <s v="Wilson"/>
    <s v="Jane Wilson"/>
    <s v="F"/>
    <d v="1950-12-12T00:00:00"/>
    <n v="75"/>
    <n v="9271131338"/>
    <s v="789 Pine Rd"/>
    <d v="2021-03-09T00:00:00"/>
    <x v="2"/>
    <s v="INS348710"/>
    <s v="jane.wilson@mail.com"/>
    <x v="0"/>
  </r>
  <r>
    <x v="9"/>
    <s v="P005"/>
    <x v="3"/>
    <x v="9"/>
    <d v="1899-12-30T15:30:00"/>
    <x v="0"/>
    <x v="3"/>
    <s v="David"/>
    <s v="Wilson"/>
    <s v="David Wilson"/>
    <s v="M"/>
    <d v="1960-06-23T00:00:00"/>
    <n v="66"/>
    <n v="7734463155"/>
    <s v="123 Elm St"/>
    <d v="2021-09-29T00:00:00"/>
    <x v="1"/>
    <s v="INS788105"/>
    <s v="david.wilson@mail.com"/>
    <x v="0"/>
  </r>
  <r>
    <x v="10"/>
    <s v="P022"/>
    <x v="4"/>
    <x v="10"/>
    <d v="1899-12-30T16:00:00"/>
    <x v="3"/>
    <x v="1"/>
    <s v="John"/>
    <s v="Brown"/>
    <s v="John Brown"/>
    <s v="M"/>
    <d v="1955-05-10T00:00:00"/>
    <n v="71"/>
    <n v="6221099573"/>
    <s v="321 Maple Dr"/>
    <d v="2021-05-11T00:00:00"/>
    <x v="1"/>
    <s v="INS258823"/>
    <s v="john.brown@mail.com"/>
    <x v="0"/>
  </r>
  <r>
    <x v="11"/>
    <s v="P029"/>
    <x v="3"/>
    <x v="11"/>
    <d v="1899-12-30T10:00:00"/>
    <x v="4"/>
    <x v="3"/>
    <s v="David"/>
    <s v="Smith"/>
    <s v="David Smith"/>
    <s v="M"/>
    <d v="2005-05-15T00:00:00"/>
    <n v="21"/>
    <n v="8923607677"/>
    <s v="789 Pine Rd"/>
    <d v="2023-04-19T00:00:00"/>
    <x v="3"/>
    <s v="INS630089"/>
    <s v="david.smith@mail.com"/>
    <x v="2"/>
  </r>
  <r>
    <x v="12"/>
    <s v="P003"/>
    <x v="6"/>
    <x v="12"/>
    <d v="1899-12-30T12:00:00"/>
    <x v="2"/>
    <x v="0"/>
    <s v="Laura"/>
    <s v="Jones"/>
    <s v="Laura Jones"/>
    <s v="M"/>
    <d v="1977-08-21T00:00:00"/>
    <n v="49"/>
    <n v="8397029847"/>
    <s v="321 Maple Dr"/>
    <d v="2022-02-07T00:00:00"/>
    <x v="2"/>
    <s v="INS650929"/>
    <s v="laura.jones@mail.com"/>
    <x v="1"/>
  </r>
  <r>
    <x v="13"/>
    <s v="P012"/>
    <x v="5"/>
    <x v="13"/>
    <d v="1899-12-30T10:30:00"/>
    <x v="2"/>
    <x v="2"/>
    <s v="Laura"/>
    <s v="Davis"/>
    <s v="Laura Davis"/>
    <s v="F"/>
    <d v="1991-12-08T00:00:00"/>
    <n v="34"/>
    <n v="8135666049"/>
    <s v="321 Maple Dr"/>
    <d v="2023-04-27T00:00:00"/>
    <x v="1"/>
    <s v="INS104014"/>
    <s v="laura.davis@mail.com"/>
    <x v="2"/>
  </r>
  <r>
    <x v="14"/>
    <s v="P026"/>
    <x v="1"/>
    <x v="14"/>
    <d v="1899-12-30T17:15:00"/>
    <x v="1"/>
    <x v="1"/>
    <s v="John"/>
    <s v="Taylor"/>
    <s v="John Taylor"/>
    <s v="M"/>
    <d v="2003-11-28T00:00:00"/>
    <n v="22"/>
    <n v="9900972256"/>
    <s v="123 Elm St"/>
    <d v="2021-05-13T00:00:00"/>
    <x v="1"/>
    <s v="INS598863"/>
    <s v="john.taylor@mail.com"/>
    <x v="2"/>
  </r>
  <r>
    <x v="15"/>
    <s v="P016"/>
    <x v="7"/>
    <x v="15"/>
    <d v="1899-12-30T11:00:00"/>
    <x v="1"/>
    <x v="0"/>
    <s v="Michael"/>
    <s v="Taylor"/>
    <s v="Michael Taylor"/>
    <s v="M"/>
    <d v="2000-07-22T00:00:00"/>
    <n v="26"/>
    <n v="7223380592"/>
    <s v="789 Pine Rd"/>
    <d v="2021-07-23T00:00:00"/>
    <x v="2"/>
    <s v="INS156958"/>
    <s v="michael.taylor@mail.com"/>
    <x v="2"/>
  </r>
  <r>
    <x v="16"/>
    <s v="P037"/>
    <x v="0"/>
    <x v="16"/>
    <d v="1899-12-30T17:00:00"/>
    <x v="2"/>
    <x v="0"/>
    <s v="Robert"/>
    <s v="Williams"/>
    <s v="Robert Williams"/>
    <s v="M"/>
    <d v="1999-02-05T00:00:00"/>
    <n v="27"/>
    <n v="8886800195"/>
    <s v="456 Oak Ave"/>
    <d v="2021-09-30T00:00:00"/>
    <x v="3"/>
    <s v="INS319963"/>
    <s v="robert.williams@mail.com"/>
    <x v="2"/>
  </r>
  <r>
    <x v="17"/>
    <s v="P022"/>
    <x v="4"/>
    <x v="17"/>
    <d v="1899-12-30T09:45:00"/>
    <x v="1"/>
    <x v="2"/>
    <s v="John"/>
    <s v="Brown"/>
    <s v="John Brown"/>
    <s v="M"/>
    <d v="1955-05-10T00:00:00"/>
    <n v="71"/>
    <n v="6221099573"/>
    <s v="321 Maple Dr"/>
    <d v="2021-05-11T00:00:00"/>
    <x v="1"/>
    <s v="INS258823"/>
    <s v="john.brown@mail.com"/>
    <x v="0"/>
  </r>
  <r>
    <x v="18"/>
    <s v="P029"/>
    <x v="8"/>
    <x v="18"/>
    <d v="1899-12-30T15:30:00"/>
    <x v="3"/>
    <x v="2"/>
    <s v="David"/>
    <s v="Smith"/>
    <s v="David Smith"/>
    <s v="M"/>
    <d v="2005-05-15T00:00:00"/>
    <n v="21"/>
    <n v="8923607677"/>
    <s v="789 Pine Rd"/>
    <d v="2023-04-19T00:00:00"/>
    <x v="3"/>
    <s v="INS630089"/>
    <s v="david.smith@mail.com"/>
    <x v="2"/>
  </r>
  <r>
    <x v="19"/>
    <s v="P014"/>
    <x v="3"/>
    <x v="19"/>
    <d v="1899-12-30T15:15:00"/>
    <x v="1"/>
    <x v="3"/>
    <s v="Alex"/>
    <s v="Taylor"/>
    <s v="Alex Taylor"/>
    <s v="M"/>
    <d v="1968-02-27T00:00:00"/>
    <n v="58"/>
    <n v="7292262512"/>
    <s v="789 Pine Rd"/>
    <d v="2023-12-12T00:00:00"/>
    <x v="1"/>
    <s v="INS118070"/>
    <s v="alex.taylor@mail.com"/>
    <x v="0"/>
  </r>
  <r>
    <x v="20"/>
    <s v="P028"/>
    <x v="0"/>
    <x v="20"/>
    <d v="1899-12-30T10:00:00"/>
    <x v="0"/>
    <x v="1"/>
    <s v="Alex"/>
    <s v="Moore"/>
    <s v="Alex Moore"/>
    <s v="M"/>
    <d v="1993-04-13T00:00:00"/>
    <n v="33"/>
    <n v="7028910482"/>
    <s v="321 Maple Dr"/>
    <d v="2023-05-20T00:00:00"/>
    <x v="1"/>
    <s v="INS679036"/>
    <s v="alex.moore@mail.com"/>
    <x v="2"/>
  </r>
  <r>
    <x v="21"/>
    <s v="P005"/>
    <x v="8"/>
    <x v="17"/>
    <d v="1899-12-30T13:00:00"/>
    <x v="1"/>
    <x v="1"/>
    <s v="David"/>
    <s v="Wilson"/>
    <s v="David Wilson"/>
    <s v="M"/>
    <d v="1960-06-23T00:00:00"/>
    <n v="66"/>
    <n v="7734463155"/>
    <s v="123 Elm St"/>
    <d v="2021-09-29T00:00:00"/>
    <x v="1"/>
    <s v="INS788105"/>
    <s v="david.wilson@mail.com"/>
    <x v="0"/>
  </r>
  <r>
    <x v="22"/>
    <s v="P047"/>
    <x v="0"/>
    <x v="21"/>
    <d v="1899-12-30T14:30:00"/>
    <x v="4"/>
    <x v="2"/>
    <s v="Jane"/>
    <s v="Moore"/>
    <s v="Jane Moore"/>
    <s v="M"/>
    <d v="1995-12-13T00:00:00"/>
    <n v="30"/>
    <n v="8715732851"/>
    <s v="321 Maple Dr"/>
    <d v="2022-05-20T00:00:00"/>
    <x v="0"/>
    <s v="INS337549"/>
    <s v="jane.moore@mail.com"/>
    <x v="2"/>
  </r>
  <r>
    <x v="23"/>
    <s v="P049"/>
    <x v="7"/>
    <x v="22"/>
    <d v="1899-12-30T08:00:00"/>
    <x v="3"/>
    <x v="3"/>
    <s v="David"/>
    <s v="Moore"/>
    <s v="David Moore"/>
    <s v="M"/>
    <d v="1972-11-26T00:00:00"/>
    <n v="53"/>
    <n v="7712937941"/>
    <s v="321 Maple Dr"/>
    <d v="2023-06-14T00:00:00"/>
    <x v="1"/>
    <s v="INS584299"/>
    <s v="david.moore@mail.com"/>
    <x v="1"/>
  </r>
  <r>
    <x v="24"/>
    <s v="P030"/>
    <x v="8"/>
    <x v="23"/>
    <d v="1899-12-30T08:00:00"/>
    <x v="4"/>
    <x v="1"/>
    <s v="Emily"/>
    <s v="Moore"/>
    <s v="Emily Moore"/>
    <s v="M"/>
    <d v="1964-12-23T00:00:00"/>
    <n v="61"/>
    <n v="6622318721"/>
    <s v="456 Oak Ave"/>
    <d v="2021-08-07T00:00:00"/>
    <x v="2"/>
    <s v="INS250262"/>
    <s v="emily.moore@mail.com"/>
    <x v="0"/>
  </r>
  <r>
    <x v="25"/>
    <s v="P046"/>
    <x v="2"/>
    <x v="24"/>
    <d v="1899-12-30T14:15:00"/>
    <x v="4"/>
    <x v="2"/>
    <s v="Michael"/>
    <s v="Taylor"/>
    <s v="Michael Taylor"/>
    <s v="F"/>
    <d v="1986-09-01T00:00:00"/>
    <n v="40"/>
    <n v="8019925828"/>
    <s v="456 Oak Ave"/>
    <d v="2021-07-31T00:00:00"/>
    <x v="1"/>
    <s v="INS368799"/>
    <s v="michael.taylor@mail.com"/>
    <x v="1"/>
  </r>
  <r>
    <x v="26"/>
    <s v="P005"/>
    <x v="9"/>
    <x v="17"/>
    <d v="1899-12-30T12:45:00"/>
    <x v="0"/>
    <x v="0"/>
    <s v="David"/>
    <s v="Wilson"/>
    <s v="David Wilson"/>
    <s v="M"/>
    <d v="1960-06-23T00:00:00"/>
    <n v="66"/>
    <n v="7734463155"/>
    <s v="123 Elm St"/>
    <d v="2021-09-29T00:00:00"/>
    <x v="1"/>
    <s v="INS788105"/>
    <s v="david.wilson@mail.com"/>
    <x v="0"/>
  </r>
  <r>
    <x v="27"/>
    <s v="P012"/>
    <x v="2"/>
    <x v="25"/>
    <d v="1899-12-30T15:30:00"/>
    <x v="3"/>
    <x v="1"/>
    <s v="Laura"/>
    <s v="Davis"/>
    <s v="Laura Davis"/>
    <s v="F"/>
    <d v="1991-12-08T00:00:00"/>
    <n v="34"/>
    <n v="8135666049"/>
    <s v="321 Maple Dr"/>
    <d v="2023-04-27T00:00:00"/>
    <x v="1"/>
    <s v="INS104014"/>
    <s v="laura.davis@mail.com"/>
    <x v="2"/>
  </r>
  <r>
    <x v="28"/>
    <s v="P016"/>
    <x v="5"/>
    <x v="26"/>
    <d v="1899-12-30T14:30:00"/>
    <x v="3"/>
    <x v="3"/>
    <s v="Michael"/>
    <s v="Taylor"/>
    <s v="Michael Taylor"/>
    <s v="M"/>
    <d v="2000-07-22T00:00:00"/>
    <n v="26"/>
    <n v="7223380592"/>
    <s v="789 Pine Rd"/>
    <d v="2021-07-23T00:00:00"/>
    <x v="2"/>
    <s v="INS156958"/>
    <s v="michael.taylor@mail.com"/>
    <x v="2"/>
  </r>
  <r>
    <x v="29"/>
    <s v="P026"/>
    <x v="9"/>
    <x v="27"/>
    <d v="1899-12-30T13:15:00"/>
    <x v="3"/>
    <x v="3"/>
    <s v="John"/>
    <s v="Taylor"/>
    <s v="John Taylor"/>
    <s v="M"/>
    <d v="2003-11-28T00:00:00"/>
    <n v="22"/>
    <n v="9900972256"/>
    <s v="123 Elm St"/>
    <d v="2021-05-13T00:00:00"/>
    <x v="1"/>
    <s v="INS598863"/>
    <s v="john.taylor@mail.com"/>
    <x v="2"/>
  </r>
  <r>
    <x v="30"/>
    <s v="P026"/>
    <x v="2"/>
    <x v="28"/>
    <d v="1899-12-30T10:30:00"/>
    <x v="3"/>
    <x v="3"/>
    <s v="John"/>
    <s v="Taylor"/>
    <s v="John Taylor"/>
    <s v="M"/>
    <d v="2003-11-28T00:00:00"/>
    <n v="22"/>
    <n v="9900972256"/>
    <s v="123 Elm St"/>
    <d v="2021-05-13T00:00:00"/>
    <x v="1"/>
    <s v="INS598863"/>
    <s v="john.taylor@mail.com"/>
    <x v="2"/>
  </r>
  <r>
    <x v="31"/>
    <s v="P048"/>
    <x v="9"/>
    <x v="29"/>
    <d v="1899-12-30T10:45:00"/>
    <x v="3"/>
    <x v="0"/>
    <s v="Emily"/>
    <s v="Miller"/>
    <s v="Emily Miller"/>
    <s v="M"/>
    <d v="1983-03-24T00:00:00"/>
    <n v="43"/>
    <n v="8720989381"/>
    <s v="123 Elm St"/>
    <d v="2023-06-19T00:00:00"/>
    <x v="2"/>
    <s v="INS694319"/>
    <s v="emily.miller@mail.com"/>
    <x v="1"/>
  </r>
  <r>
    <x v="32"/>
    <s v="P021"/>
    <x v="9"/>
    <x v="30"/>
    <d v="1899-12-30T17:45:00"/>
    <x v="0"/>
    <x v="1"/>
    <s v="Michael"/>
    <s v="Wilson"/>
    <s v="Michael Wilson"/>
    <s v="M"/>
    <d v="2002-03-01T00:00:00"/>
    <n v="24"/>
    <n v="7765390555"/>
    <s v="321 Maple Dr"/>
    <d v="2022-01-19T00:00:00"/>
    <x v="0"/>
    <s v="INS297392"/>
    <s v="michael.wilson@mail.com"/>
    <x v="2"/>
  </r>
  <r>
    <x v="33"/>
    <s v="P039"/>
    <x v="1"/>
    <x v="31"/>
    <d v="1899-12-30T11:30:00"/>
    <x v="1"/>
    <x v="1"/>
    <s v="Jane"/>
    <s v="Wilson"/>
    <s v="Jane Wilson"/>
    <s v="F"/>
    <d v="1950-12-12T00:00:00"/>
    <n v="75"/>
    <n v="9271131338"/>
    <s v="789 Pine Rd"/>
    <d v="2021-03-09T00:00:00"/>
    <x v="2"/>
    <s v="INS348710"/>
    <s v="jane.wilson@mail.com"/>
    <x v="0"/>
  </r>
  <r>
    <x v="34"/>
    <s v="P036"/>
    <x v="3"/>
    <x v="32"/>
    <d v="1899-12-30T08:45:00"/>
    <x v="4"/>
    <x v="0"/>
    <s v="Michael"/>
    <s v="Wilson"/>
    <s v="Michael Wilson"/>
    <s v="M"/>
    <d v="1997-12-26T00:00:00"/>
    <n v="28"/>
    <n v="8545613046"/>
    <s v="123 Elm St"/>
    <d v="2022-10-04T00:00:00"/>
    <x v="1"/>
    <s v="INS764076"/>
    <s v="michael.wilson@mail.com"/>
    <x v="2"/>
  </r>
  <r>
    <x v="35"/>
    <s v="P033"/>
    <x v="3"/>
    <x v="33"/>
    <d v="1899-12-30T14:30:00"/>
    <x v="3"/>
    <x v="1"/>
    <s v="Michael"/>
    <s v="Wilson"/>
    <s v="Michael Wilson"/>
    <s v="F"/>
    <d v="1970-02-06T00:00:00"/>
    <n v="56"/>
    <n v="7923214041"/>
    <s v="789 Pine Rd"/>
    <d v="2023-09-06T00:00:00"/>
    <x v="1"/>
    <s v="INS544209"/>
    <s v="michael.wilson@mail.com"/>
    <x v="0"/>
  </r>
  <r>
    <x v="36"/>
    <s v="P030"/>
    <x v="1"/>
    <x v="34"/>
    <d v="1899-12-30T11:00:00"/>
    <x v="1"/>
    <x v="0"/>
    <s v="Emily"/>
    <s v="Moore"/>
    <s v="Emily Moore"/>
    <s v="M"/>
    <d v="1964-12-23T00:00:00"/>
    <n v="61"/>
    <n v="6622318721"/>
    <s v="456 Oak Ave"/>
    <d v="2021-08-07T00:00:00"/>
    <x v="2"/>
    <s v="INS250262"/>
    <s v="emily.moore@mail.com"/>
    <x v="0"/>
  </r>
  <r>
    <x v="37"/>
    <s v="P037"/>
    <x v="0"/>
    <x v="35"/>
    <d v="1899-12-30T13:00:00"/>
    <x v="1"/>
    <x v="0"/>
    <s v="Robert"/>
    <s v="Williams"/>
    <s v="Robert Williams"/>
    <s v="M"/>
    <d v="1999-02-05T00:00:00"/>
    <n v="27"/>
    <n v="8886800195"/>
    <s v="456 Oak Ave"/>
    <d v="2021-09-30T00:00:00"/>
    <x v="3"/>
    <s v="INS319963"/>
    <s v="robert.williams@mail.com"/>
    <x v="2"/>
  </r>
  <r>
    <x v="38"/>
    <s v="P023"/>
    <x v="6"/>
    <x v="36"/>
    <d v="1899-12-30T08:00:00"/>
    <x v="4"/>
    <x v="0"/>
    <s v="Linda"/>
    <s v="Johnson"/>
    <s v="Linda Johnson"/>
    <s v="M"/>
    <d v="1994-02-22T00:00:00"/>
    <n v="32"/>
    <n v="6141951830"/>
    <s v="789 Pine Rd"/>
    <d v="2021-12-27T00:00:00"/>
    <x v="0"/>
    <s v="INS730152"/>
    <s v="linda.johnson@mail.com"/>
    <x v="2"/>
  </r>
  <r>
    <x v="39"/>
    <s v="P010"/>
    <x v="0"/>
    <x v="37"/>
    <d v="1899-12-30T12:30:00"/>
    <x v="0"/>
    <x v="3"/>
    <s v="Michael"/>
    <s v="Taylor"/>
    <s v="Michael Taylor"/>
    <s v="M"/>
    <d v="2001-10-13T00:00:00"/>
    <n v="24"/>
    <n v="7081396733"/>
    <s v="123 Elm St"/>
    <d v="2022-08-24T00:00:00"/>
    <x v="0"/>
    <s v="INS866577"/>
    <s v="michael.taylor@mail.com"/>
    <x v="2"/>
  </r>
  <r>
    <x v="40"/>
    <s v="P005"/>
    <x v="8"/>
    <x v="38"/>
    <d v="1899-12-30T14:00:00"/>
    <x v="2"/>
    <x v="1"/>
    <s v="David"/>
    <s v="Wilson"/>
    <s v="David Wilson"/>
    <s v="M"/>
    <d v="1960-06-23T00:00:00"/>
    <n v="66"/>
    <n v="7734463155"/>
    <s v="123 Elm St"/>
    <d v="2021-09-29T00:00:00"/>
    <x v="1"/>
    <s v="INS788105"/>
    <s v="david.wilson@mail.com"/>
    <x v="0"/>
  </r>
  <r>
    <x v="41"/>
    <s v="P036"/>
    <x v="8"/>
    <x v="39"/>
    <d v="1899-12-30T11:15:00"/>
    <x v="2"/>
    <x v="0"/>
    <s v="Michael"/>
    <s v="Wilson"/>
    <s v="Michael Wilson"/>
    <s v="M"/>
    <d v="1997-12-26T00:00:00"/>
    <n v="28"/>
    <n v="8545613046"/>
    <s v="123 Elm St"/>
    <d v="2022-10-04T00:00:00"/>
    <x v="1"/>
    <s v="INS764076"/>
    <s v="michael.wilson@mail.com"/>
    <x v="2"/>
  </r>
  <r>
    <x v="42"/>
    <s v="P034"/>
    <x v="9"/>
    <x v="40"/>
    <d v="1899-12-30T09:15:00"/>
    <x v="1"/>
    <x v="1"/>
    <s v="Alex"/>
    <s v="Smith"/>
    <s v="Alex Smith"/>
    <s v="F"/>
    <d v="1950-01-26T00:00:00"/>
    <n v="76"/>
    <n v="8374657733"/>
    <s v="321 Maple Dr"/>
    <d v="2023-06-18T00:00:00"/>
    <x v="0"/>
    <s v="INS653880"/>
    <s v="alex.smith@mail.com"/>
    <x v="0"/>
  </r>
  <r>
    <x v="43"/>
    <s v="P031"/>
    <x v="2"/>
    <x v="41"/>
    <d v="1899-12-30T12:30:00"/>
    <x v="4"/>
    <x v="3"/>
    <s v="Robert"/>
    <s v="Miller"/>
    <s v="Robert Miller"/>
    <s v="M"/>
    <d v="1987-01-14T00:00:00"/>
    <n v="39"/>
    <n v="8280346676"/>
    <s v="321 Maple Dr"/>
    <d v="2022-06-28T00:00:00"/>
    <x v="0"/>
    <s v="INS542905"/>
    <s v="robert.miller@mail.com"/>
    <x v="1"/>
  </r>
  <r>
    <x v="44"/>
    <s v="P010"/>
    <x v="2"/>
    <x v="42"/>
    <d v="1899-12-30T17:00:00"/>
    <x v="2"/>
    <x v="0"/>
    <s v="Michael"/>
    <s v="Taylor"/>
    <s v="Michael Taylor"/>
    <s v="M"/>
    <d v="2001-10-13T00:00:00"/>
    <n v="24"/>
    <n v="7081396733"/>
    <s v="123 Elm St"/>
    <d v="2022-08-24T00:00:00"/>
    <x v="0"/>
    <s v="INS866577"/>
    <s v="michael.taylor@mail.com"/>
    <x v="2"/>
  </r>
  <r>
    <x v="45"/>
    <s v="P019"/>
    <x v="3"/>
    <x v="43"/>
    <d v="1899-12-30T13:15:00"/>
    <x v="1"/>
    <x v="2"/>
    <s v="Sarah"/>
    <s v="Miller"/>
    <s v="Sarah Miller"/>
    <s v="M"/>
    <d v="1975-05-24T00:00:00"/>
    <n v="51"/>
    <n v="8618058864"/>
    <s v="789 Pine Rd"/>
    <d v="2023-06-24T00:00:00"/>
    <x v="0"/>
    <s v="INS855073"/>
    <s v="sarah.miller@mail.com"/>
    <x v="1"/>
  </r>
  <r>
    <x v="46"/>
    <s v="P032"/>
    <x v="4"/>
    <x v="44"/>
    <d v="1899-12-30T11:00:00"/>
    <x v="0"/>
    <x v="3"/>
    <s v="Alex"/>
    <s v="Moore"/>
    <s v="Alex Moore"/>
    <s v="M"/>
    <d v="1981-01-08T00:00:00"/>
    <n v="45"/>
    <n v="8102183595"/>
    <s v="123 Elm St"/>
    <d v="2021-10-02T00:00:00"/>
    <x v="1"/>
    <s v="INS335362"/>
    <s v="alex.moore@mail.com"/>
    <x v="1"/>
  </r>
  <r>
    <x v="47"/>
    <s v="P001"/>
    <x v="0"/>
    <x v="45"/>
    <d v="1899-12-30T15:45:00"/>
    <x v="2"/>
    <x v="2"/>
    <s v="David"/>
    <s v="Williams"/>
    <s v="David Williams"/>
    <s v="F"/>
    <d v="1955-06-04T00:00:00"/>
    <n v="71"/>
    <n v="6939585183"/>
    <s v="789 Pine Rd"/>
    <d v="2022-06-23T00:00:00"/>
    <x v="0"/>
    <s v="INS840674"/>
    <s v="david.williams@mail.com"/>
    <x v="0"/>
  </r>
  <r>
    <x v="48"/>
    <s v="P005"/>
    <x v="5"/>
    <x v="46"/>
    <d v="1899-12-30T15:30:00"/>
    <x v="1"/>
    <x v="1"/>
    <s v="David"/>
    <s v="Wilson"/>
    <s v="David Wilson"/>
    <s v="M"/>
    <d v="1960-06-23T00:00:00"/>
    <n v="66"/>
    <n v="7734463155"/>
    <s v="123 Elm St"/>
    <d v="2021-09-29T00:00:00"/>
    <x v="1"/>
    <s v="INS788105"/>
    <s v="david.wilson@mail.com"/>
    <x v="0"/>
  </r>
  <r>
    <x v="49"/>
    <s v="P045"/>
    <x v="7"/>
    <x v="12"/>
    <d v="1899-12-30T15:00:00"/>
    <x v="1"/>
    <x v="1"/>
    <s v="Linda"/>
    <s v="Miller"/>
    <s v="Linda Miller"/>
    <s v="F"/>
    <d v="1966-04-25T00:00:00"/>
    <n v="60"/>
    <n v="7579616535"/>
    <s v="321 Maple Dr"/>
    <d v="2021-01-23T00:00:00"/>
    <x v="1"/>
    <s v="INS701863"/>
    <s v="linda.miller@mail.com"/>
    <x v="0"/>
  </r>
  <r>
    <x v="50"/>
    <s v="P004"/>
    <x v="2"/>
    <x v="47"/>
    <d v="1899-12-30T11:45:00"/>
    <x v="3"/>
    <x v="3"/>
    <s v="Michael"/>
    <s v="Johnson"/>
    <s v="Michael Johnson"/>
    <s v="F"/>
    <d v="1981-02-20T00:00:00"/>
    <n v="45"/>
    <n v="9019443432"/>
    <s v="123 Elm St"/>
    <d v="2021-03-02T00:00:00"/>
    <x v="3"/>
    <s v="INS789944"/>
    <s v="michael.johnson@mail.com"/>
    <x v="1"/>
  </r>
  <r>
    <x v="51"/>
    <s v="P016"/>
    <x v="7"/>
    <x v="48"/>
    <d v="1899-12-30T09:30:00"/>
    <x v="0"/>
    <x v="1"/>
    <s v="Michael"/>
    <s v="Taylor"/>
    <s v="Michael Taylor"/>
    <s v="M"/>
    <d v="2000-07-22T00:00:00"/>
    <n v="26"/>
    <n v="7223380592"/>
    <s v="789 Pine Rd"/>
    <d v="2021-07-23T00:00:00"/>
    <x v="2"/>
    <s v="INS156958"/>
    <s v="michael.taylor@mail.com"/>
    <x v="2"/>
  </r>
  <r>
    <x v="52"/>
    <s v="P024"/>
    <x v="9"/>
    <x v="49"/>
    <d v="1899-12-30T10:30:00"/>
    <x v="3"/>
    <x v="2"/>
    <s v="Sarah"/>
    <s v="Brown"/>
    <s v="Sarah Brown"/>
    <s v="F"/>
    <d v="1991-11-04T00:00:00"/>
    <n v="34"/>
    <n v="7196777444"/>
    <s v="321 Maple Dr"/>
    <d v="2021-09-02T00:00:00"/>
    <x v="0"/>
    <s v="INS493002"/>
    <s v="sarah.brown@mail.com"/>
    <x v="2"/>
  </r>
  <r>
    <x v="53"/>
    <s v="P016"/>
    <x v="7"/>
    <x v="50"/>
    <d v="1899-12-30T11:45:00"/>
    <x v="4"/>
    <x v="0"/>
    <s v="Michael"/>
    <s v="Taylor"/>
    <s v="Michael Taylor"/>
    <s v="M"/>
    <d v="2000-07-22T00:00:00"/>
    <n v="26"/>
    <n v="7223380592"/>
    <s v="789 Pine Rd"/>
    <d v="2021-07-23T00:00:00"/>
    <x v="2"/>
    <s v="INS156958"/>
    <s v="michael.taylor@mail.com"/>
    <x v="2"/>
  </r>
  <r>
    <x v="54"/>
    <s v="P002"/>
    <x v="5"/>
    <x v="51"/>
    <d v="1899-12-30T17:30:00"/>
    <x v="3"/>
    <x v="0"/>
    <s v="Emily"/>
    <s v="Smith"/>
    <s v="Emily Smith"/>
    <s v="F"/>
    <d v="1984-10-12T00:00:00"/>
    <n v="41"/>
    <n v="8228188767"/>
    <s v="321 Maple Dr"/>
    <d v="2022-01-15T00:00:00"/>
    <x v="2"/>
    <s v="INS354079"/>
    <s v="emily.smith@mail.com"/>
    <x v="1"/>
  </r>
  <r>
    <x v="55"/>
    <s v="P049"/>
    <x v="1"/>
    <x v="52"/>
    <d v="1899-12-30T12:45:00"/>
    <x v="3"/>
    <x v="0"/>
    <s v="David"/>
    <s v="Moore"/>
    <s v="David Moore"/>
    <s v="M"/>
    <d v="1972-11-26T00:00:00"/>
    <n v="53"/>
    <n v="7712937941"/>
    <s v="321 Maple Dr"/>
    <d v="2023-06-14T00:00:00"/>
    <x v="1"/>
    <s v="INS584299"/>
    <s v="david.moore@mail.com"/>
    <x v="1"/>
  </r>
  <r>
    <x v="56"/>
    <s v="P028"/>
    <x v="5"/>
    <x v="53"/>
    <d v="1899-12-30T17:45:00"/>
    <x v="2"/>
    <x v="3"/>
    <s v="Alex"/>
    <s v="Moore"/>
    <s v="Alex Moore"/>
    <s v="M"/>
    <d v="1993-04-13T00:00:00"/>
    <n v="33"/>
    <n v="7028910482"/>
    <s v="321 Maple Dr"/>
    <d v="2023-05-20T00:00:00"/>
    <x v="1"/>
    <s v="INS679036"/>
    <s v="alex.moore@mail.com"/>
    <x v="2"/>
  </r>
  <r>
    <x v="57"/>
    <s v="P032"/>
    <x v="7"/>
    <x v="21"/>
    <d v="1899-12-30T13:15:00"/>
    <x v="1"/>
    <x v="1"/>
    <s v="Alex"/>
    <s v="Moore"/>
    <s v="Alex Moore"/>
    <s v="M"/>
    <d v="1981-01-08T00:00:00"/>
    <n v="45"/>
    <n v="8102183595"/>
    <s v="123 Elm St"/>
    <d v="2021-10-02T00:00:00"/>
    <x v="1"/>
    <s v="INS335362"/>
    <s v="alex.moore@mail.com"/>
    <x v="1"/>
  </r>
  <r>
    <x v="58"/>
    <s v="P027"/>
    <x v="5"/>
    <x v="54"/>
    <d v="1899-12-30T15:30:00"/>
    <x v="0"/>
    <x v="2"/>
    <s v="Linda"/>
    <s v="Moore"/>
    <s v="Linda Moore"/>
    <s v="F"/>
    <d v="1998-06-29T00:00:00"/>
    <n v="28"/>
    <n v="8724518272"/>
    <s v="321 Maple Dr"/>
    <d v="2021-08-15T00:00:00"/>
    <x v="3"/>
    <s v="INS467654"/>
    <s v="linda.moore@mail.com"/>
    <x v="2"/>
  </r>
  <r>
    <x v="59"/>
    <s v="P020"/>
    <x v="6"/>
    <x v="55"/>
    <d v="1899-12-30T17:15:00"/>
    <x v="3"/>
    <x v="1"/>
    <s v="Jane"/>
    <s v="Moore"/>
    <s v="Jane Moore"/>
    <s v="F"/>
    <d v="2003-06-06T00:00:00"/>
    <n v="23"/>
    <n v="8158989953"/>
    <s v="789 Pine Rd"/>
    <d v="2022-04-03T00:00:00"/>
    <x v="1"/>
    <s v="INS276089"/>
    <s v="jane.moore@mail.com"/>
    <x v="2"/>
  </r>
  <r>
    <x v="60"/>
    <s v="P024"/>
    <x v="9"/>
    <x v="14"/>
    <d v="1899-12-30T17:00:00"/>
    <x v="0"/>
    <x v="1"/>
    <s v="Sarah"/>
    <s v="Brown"/>
    <s v="Sarah Brown"/>
    <s v="F"/>
    <d v="1991-11-04T00:00:00"/>
    <n v="34"/>
    <n v="7196777444"/>
    <s v="321 Maple Dr"/>
    <d v="2021-09-02T00:00:00"/>
    <x v="0"/>
    <s v="INS493002"/>
    <s v="sarah.brown@mail.com"/>
    <x v="2"/>
  </r>
  <r>
    <x v="61"/>
    <s v="P012"/>
    <x v="0"/>
    <x v="56"/>
    <d v="1899-12-30T15:15:00"/>
    <x v="3"/>
    <x v="1"/>
    <s v="Laura"/>
    <s v="Davis"/>
    <s v="Laura Davis"/>
    <s v="F"/>
    <d v="1991-12-08T00:00:00"/>
    <n v="34"/>
    <n v="8135666049"/>
    <s v="321 Maple Dr"/>
    <d v="2023-04-27T00:00:00"/>
    <x v="1"/>
    <s v="INS104014"/>
    <s v="laura.davis@mail.com"/>
    <x v="2"/>
  </r>
  <r>
    <x v="62"/>
    <s v="P050"/>
    <x v="1"/>
    <x v="57"/>
    <d v="1899-12-30T09:00:00"/>
    <x v="4"/>
    <x v="0"/>
    <s v="Laura"/>
    <s v="Wilson"/>
    <s v="Laura Wilson"/>
    <s v="M"/>
    <d v="1993-12-27T00:00:00"/>
    <n v="32"/>
    <n v="8301134730"/>
    <s v="321 Maple Dr"/>
    <d v="2023-04-28T00:00:00"/>
    <x v="0"/>
    <s v="INS712210"/>
    <s v="laura.wilson@mail.com"/>
    <x v="2"/>
  </r>
  <r>
    <x v="63"/>
    <s v="P035"/>
    <x v="2"/>
    <x v="58"/>
    <d v="1899-12-30T08:30:00"/>
    <x v="3"/>
    <x v="2"/>
    <s v="David"/>
    <s v="Wilson"/>
    <s v="David Wilson"/>
    <s v="F"/>
    <d v="1993-04-13T00:00:00"/>
    <n v="33"/>
    <n v="7039619487"/>
    <s v="123 Elm St"/>
    <d v="2023-07-09T00:00:00"/>
    <x v="1"/>
    <s v="INS897079"/>
    <s v="david.wilson@mail.com"/>
    <x v="2"/>
  </r>
  <r>
    <x v="64"/>
    <s v="P033"/>
    <x v="8"/>
    <x v="20"/>
    <d v="1899-12-30T15:45:00"/>
    <x v="2"/>
    <x v="2"/>
    <s v="Michael"/>
    <s v="Wilson"/>
    <s v="Michael Wilson"/>
    <s v="F"/>
    <d v="1970-02-06T00:00:00"/>
    <n v="56"/>
    <n v="7923214041"/>
    <s v="789 Pine Rd"/>
    <d v="2023-09-06T00:00:00"/>
    <x v="1"/>
    <s v="INS544209"/>
    <s v="michael.wilson@mail.com"/>
    <x v="0"/>
  </r>
  <r>
    <x v="65"/>
    <s v="P033"/>
    <x v="0"/>
    <x v="59"/>
    <d v="1899-12-30T11:45:00"/>
    <x v="1"/>
    <x v="1"/>
    <s v="Michael"/>
    <s v="Wilson"/>
    <s v="Michael Wilson"/>
    <s v="F"/>
    <d v="1970-02-06T00:00:00"/>
    <n v="56"/>
    <n v="7923214041"/>
    <s v="789 Pine Rd"/>
    <d v="2023-09-06T00:00:00"/>
    <x v="1"/>
    <s v="INS544209"/>
    <s v="michael.wilson@mail.com"/>
    <x v="0"/>
  </r>
  <r>
    <x v="66"/>
    <s v="P043"/>
    <x v="8"/>
    <x v="60"/>
    <d v="1899-12-30T11:00:00"/>
    <x v="4"/>
    <x v="0"/>
    <s v="Linda"/>
    <s v="Brown"/>
    <s v="Linda Brown"/>
    <s v="M"/>
    <d v="1980-03-25T00:00:00"/>
    <n v="46"/>
    <n v="9127665406"/>
    <s v="789 Pine Rd"/>
    <d v="2022-07-18T00:00:00"/>
    <x v="0"/>
    <s v="INS882355"/>
    <s v="linda.brown@mail.com"/>
    <x v="1"/>
  </r>
  <r>
    <x v="67"/>
    <s v="P037"/>
    <x v="9"/>
    <x v="61"/>
    <d v="1899-12-30T15:00:00"/>
    <x v="3"/>
    <x v="0"/>
    <s v="Robert"/>
    <s v="Williams"/>
    <s v="Robert Williams"/>
    <s v="M"/>
    <d v="1999-02-05T00:00:00"/>
    <n v="27"/>
    <n v="8886800195"/>
    <s v="456 Oak Ave"/>
    <d v="2021-09-30T00:00:00"/>
    <x v="3"/>
    <s v="INS319963"/>
    <s v="robert.williams@mail.com"/>
    <x v="2"/>
  </r>
  <r>
    <x v="68"/>
    <s v="P012"/>
    <x v="1"/>
    <x v="40"/>
    <d v="1899-12-30T15:30:00"/>
    <x v="0"/>
    <x v="2"/>
    <s v="Laura"/>
    <s v="Davis"/>
    <s v="Laura Davis"/>
    <s v="F"/>
    <d v="1991-12-08T00:00:00"/>
    <n v="34"/>
    <n v="8135666049"/>
    <s v="321 Maple Dr"/>
    <d v="2023-04-27T00:00:00"/>
    <x v="1"/>
    <s v="INS104014"/>
    <s v="laura.davis@mail.com"/>
    <x v="2"/>
  </r>
  <r>
    <x v="69"/>
    <s v="P003"/>
    <x v="3"/>
    <x v="62"/>
    <d v="1899-12-30T17:00:00"/>
    <x v="4"/>
    <x v="0"/>
    <s v="Laura"/>
    <s v="Jones"/>
    <s v="Laura Jones"/>
    <s v="M"/>
    <d v="1977-08-21T00:00:00"/>
    <n v="49"/>
    <n v="8397029847"/>
    <s v="321 Maple Dr"/>
    <d v="2022-02-07T00:00:00"/>
    <x v="2"/>
    <s v="INS650929"/>
    <s v="laura.jones@mail.com"/>
    <x v="1"/>
  </r>
  <r>
    <x v="70"/>
    <s v="P001"/>
    <x v="2"/>
    <x v="63"/>
    <d v="1899-12-30T17:00:00"/>
    <x v="4"/>
    <x v="0"/>
    <s v="David"/>
    <s v="Williams"/>
    <s v="David Williams"/>
    <s v="F"/>
    <d v="1955-06-04T00:00:00"/>
    <n v="71"/>
    <n v="6939585183"/>
    <s v="789 Pine Rd"/>
    <d v="2022-06-23T00:00:00"/>
    <x v="0"/>
    <s v="INS840674"/>
    <s v="david.williams@mail.com"/>
    <x v="0"/>
  </r>
  <r>
    <x v="71"/>
    <s v="P033"/>
    <x v="6"/>
    <x v="64"/>
    <d v="1899-12-30T13:30:00"/>
    <x v="3"/>
    <x v="0"/>
    <s v="Michael"/>
    <s v="Wilson"/>
    <s v="Michael Wilson"/>
    <s v="F"/>
    <d v="1970-02-06T00:00:00"/>
    <n v="56"/>
    <n v="7923214041"/>
    <s v="789 Pine Rd"/>
    <d v="2023-09-06T00:00:00"/>
    <x v="1"/>
    <s v="INS544209"/>
    <s v="michael.wilson@mail.com"/>
    <x v="0"/>
  </r>
  <r>
    <x v="72"/>
    <s v="P040"/>
    <x v="3"/>
    <x v="65"/>
    <d v="1899-12-30T15:00:00"/>
    <x v="4"/>
    <x v="3"/>
    <s v="Emily"/>
    <s v="Williams"/>
    <s v="Emily Williams"/>
    <s v="M"/>
    <d v="1972-05-30T00:00:00"/>
    <n v="54"/>
    <n v="7587653815"/>
    <s v="456 Oak Ave"/>
    <d v="2021-10-16T00:00:00"/>
    <x v="2"/>
    <s v="INS320984"/>
    <s v="emily.williams@mail.com"/>
    <x v="1"/>
  </r>
  <r>
    <x v="73"/>
    <s v="P010"/>
    <x v="9"/>
    <x v="66"/>
    <d v="1899-12-30T13:30:00"/>
    <x v="0"/>
    <x v="1"/>
    <s v="Michael"/>
    <s v="Taylor"/>
    <s v="Michael Taylor"/>
    <s v="M"/>
    <d v="2001-10-13T00:00:00"/>
    <n v="24"/>
    <n v="7081396733"/>
    <s v="123 Elm St"/>
    <d v="2022-08-24T00:00:00"/>
    <x v="0"/>
    <s v="INS866577"/>
    <s v="michael.taylor@mail.com"/>
    <x v="2"/>
  </r>
  <r>
    <x v="74"/>
    <s v="P043"/>
    <x v="0"/>
    <x v="67"/>
    <d v="1899-12-30T14:00:00"/>
    <x v="4"/>
    <x v="2"/>
    <s v="Linda"/>
    <s v="Brown"/>
    <s v="Linda Brown"/>
    <s v="M"/>
    <d v="1980-03-25T00:00:00"/>
    <n v="46"/>
    <n v="9127665406"/>
    <s v="789 Pine Rd"/>
    <d v="2022-07-18T00:00:00"/>
    <x v="0"/>
    <s v="INS882355"/>
    <s v="linda.brown@mail.com"/>
    <x v="1"/>
  </r>
  <r>
    <x v="75"/>
    <s v="P044"/>
    <x v="6"/>
    <x v="68"/>
    <d v="1899-12-30T12:00:00"/>
    <x v="0"/>
    <x v="2"/>
    <s v="Robert"/>
    <s v="Taylor"/>
    <s v="Robert Taylor"/>
    <s v="F"/>
    <d v="1976-03-11T00:00:00"/>
    <n v="50"/>
    <n v="9449458981"/>
    <s v="321 Maple Dr"/>
    <d v="2023-01-26T00:00:00"/>
    <x v="2"/>
    <s v="INS364512"/>
    <s v="robert.taylor@mail.com"/>
    <x v="1"/>
  </r>
  <r>
    <x v="76"/>
    <s v="P029"/>
    <x v="5"/>
    <x v="69"/>
    <d v="1899-12-30T17:15:00"/>
    <x v="3"/>
    <x v="3"/>
    <s v="David"/>
    <s v="Smith"/>
    <s v="David Smith"/>
    <s v="M"/>
    <d v="2005-05-15T00:00:00"/>
    <n v="21"/>
    <n v="8923607677"/>
    <s v="789 Pine Rd"/>
    <d v="2023-04-19T00:00:00"/>
    <x v="3"/>
    <s v="INS630089"/>
    <s v="david.smith@mail.com"/>
    <x v="2"/>
  </r>
  <r>
    <x v="77"/>
    <s v="P013"/>
    <x v="7"/>
    <x v="70"/>
    <d v="1899-12-30T11:15:00"/>
    <x v="1"/>
    <x v="1"/>
    <s v="Laura"/>
    <s v="Johnson"/>
    <s v="Laura Johnson"/>
    <s v="F"/>
    <d v="1990-03-28T00:00:00"/>
    <n v="36"/>
    <n v="9059178882"/>
    <s v="321 Maple Dr"/>
    <d v="2021-12-23T00:00:00"/>
    <x v="0"/>
    <s v="INS373237"/>
    <s v="laura.johnson@mail.com"/>
    <x v="1"/>
  </r>
  <r>
    <x v="78"/>
    <s v="P012"/>
    <x v="6"/>
    <x v="71"/>
    <d v="1899-12-30T14:00:00"/>
    <x v="4"/>
    <x v="2"/>
    <s v="Laura"/>
    <s v="Davis"/>
    <s v="Laura Davis"/>
    <s v="F"/>
    <d v="1991-12-08T00:00:00"/>
    <n v="34"/>
    <n v="8135666049"/>
    <s v="321 Maple Dr"/>
    <d v="2023-04-27T00:00:00"/>
    <x v="1"/>
    <s v="INS104014"/>
    <s v="laura.davis@mail.com"/>
    <x v="2"/>
  </r>
  <r>
    <x v="79"/>
    <s v="P031"/>
    <x v="9"/>
    <x v="72"/>
    <d v="1899-12-30T08:30:00"/>
    <x v="1"/>
    <x v="0"/>
    <s v="Robert"/>
    <s v="Miller"/>
    <s v="Robert Miller"/>
    <s v="M"/>
    <d v="1987-01-14T00:00:00"/>
    <n v="39"/>
    <n v="8280346676"/>
    <s v="321 Maple Dr"/>
    <d v="2022-06-28T00:00:00"/>
    <x v="0"/>
    <s v="INS542905"/>
    <s v="robert.miller@mail.com"/>
    <x v="1"/>
  </r>
  <r>
    <x v="80"/>
    <s v="P046"/>
    <x v="4"/>
    <x v="73"/>
    <d v="1899-12-30T13:30:00"/>
    <x v="0"/>
    <x v="2"/>
    <s v="Michael"/>
    <s v="Taylor"/>
    <s v="Michael Taylor"/>
    <s v="F"/>
    <d v="1986-09-01T00:00:00"/>
    <n v="40"/>
    <n v="8019925828"/>
    <s v="456 Oak Ave"/>
    <d v="2021-07-31T00:00:00"/>
    <x v="1"/>
    <s v="INS368799"/>
    <s v="michael.taylor@mail.com"/>
    <x v="1"/>
  </r>
  <r>
    <x v="81"/>
    <s v="P002"/>
    <x v="7"/>
    <x v="74"/>
    <d v="1899-12-30T10:45:00"/>
    <x v="4"/>
    <x v="0"/>
    <s v="Emily"/>
    <s v="Smith"/>
    <s v="Emily Smith"/>
    <s v="F"/>
    <d v="1984-10-12T00:00:00"/>
    <n v="41"/>
    <n v="8228188767"/>
    <s v="321 Maple Dr"/>
    <d v="2022-01-15T00:00:00"/>
    <x v="2"/>
    <s v="INS354079"/>
    <s v="emily.smith@mail.com"/>
    <x v="1"/>
  </r>
  <r>
    <x v="82"/>
    <s v="P050"/>
    <x v="8"/>
    <x v="75"/>
    <d v="1899-12-30T12:30:00"/>
    <x v="2"/>
    <x v="3"/>
    <s v="Laura"/>
    <s v="Wilson"/>
    <s v="Laura Wilson"/>
    <s v="M"/>
    <d v="1993-12-27T00:00:00"/>
    <n v="32"/>
    <n v="8301134730"/>
    <s v="321 Maple Dr"/>
    <d v="2023-04-28T00:00:00"/>
    <x v="0"/>
    <s v="INS712210"/>
    <s v="laura.wilson@mail.com"/>
    <x v="2"/>
  </r>
  <r>
    <x v="83"/>
    <s v="P035"/>
    <x v="2"/>
    <x v="58"/>
    <d v="1899-12-30T16:00:00"/>
    <x v="1"/>
    <x v="0"/>
    <s v="David"/>
    <s v="Wilson"/>
    <s v="David Wilson"/>
    <s v="F"/>
    <d v="1993-04-13T00:00:00"/>
    <n v="33"/>
    <n v="7039619487"/>
    <s v="123 Elm St"/>
    <d v="2023-07-09T00:00:00"/>
    <x v="1"/>
    <s v="INS897079"/>
    <s v="david.wilson@mail.com"/>
    <x v="2"/>
  </r>
  <r>
    <x v="84"/>
    <s v="P023"/>
    <x v="8"/>
    <x v="76"/>
    <d v="1899-12-30T16:15:00"/>
    <x v="4"/>
    <x v="2"/>
    <s v="Linda"/>
    <s v="Johnson"/>
    <s v="Linda Johnson"/>
    <s v="M"/>
    <d v="1994-02-22T00:00:00"/>
    <n v="32"/>
    <n v="6141951830"/>
    <s v="789 Pine Rd"/>
    <d v="2021-12-27T00:00:00"/>
    <x v="0"/>
    <s v="INS730152"/>
    <s v="linda.johnson@mail.com"/>
    <x v="2"/>
  </r>
  <r>
    <x v="85"/>
    <s v="P017"/>
    <x v="6"/>
    <x v="25"/>
    <d v="1899-12-30T11:00:00"/>
    <x v="1"/>
    <x v="2"/>
    <s v="Jane"/>
    <s v="Jones"/>
    <s v="Jane Jones"/>
    <s v="M"/>
    <d v="1991-05-01T00:00:00"/>
    <n v="35"/>
    <n v="6158428240"/>
    <s v="456 Oak Ave"/>
    <d v="2022-09-26T00:00:00"/>
    <x v="0"/>
    <s v="INS182074"/>
    <s v="jane.jones@mail.com"/>
    <x v="2"/>
  </r>
  <r>
    <x v="86"/>
    <s v="P026"/>
    <x v="8"/>
    <x v="77"/>
    <d v="1899-12-30T12:15:00"/>
    <x v="4"/>
    <x v="2"/>
    <s v="John"/>
    <s v="Taylor"/>
    <s v="John Taylor"/>
    <s v="M"/>
    <d v="2003-11-28T00:00:00"/>
    <n v="22"/>
    <n v="9900972256"/>
    <s v="123 Elm St"/>
    <d v="2021-05-13T00:00:00"/>
    <x v="1"/>
    <s v="INS598863"/>
    <s v="john.taylor@mail.com"/>
    <x v="2"/>
  </r>
  <r>
    <x v="87"/>
    <s v="P008"/>
    <x v="9"/>
    <x v="44"/>
    <d v="1899-12-30T16:30:00"/>
    <x v="3"/>
    <x v="3"/>
    <s v="David"/>
    <s v="Davis"/>
    <s v="David Davis"/>
    <s v="F"/>
    <d v="1976-07-05T00:00:00"/>
    <n v="50"/>
    <n v="7090558393"/>
    <s v="456 Oak Ave"/>
    <d v="2021-05-25T00:00:00"/>
    <x v="0"/>
    <s v="INS545101"/>
    <s v="david.davis@mail.com"/>
    <x v="1"/>
  </r>
  <r>
    <x v="88"/>
    <s v="P029"/>
    <x v="5"/>
    <x v="78"/>
    <d v="1899-12-30T11:00:00"/>
    <x v="1"/>
    <x v="3"/>
    <s v="David"/>
    <s v="Smith"/>
    <s v="David Smith"/>
    <s v="M"/>
    <d v="2005-05-15T00:00:00"/>
    <n v="21"/>
    <n v="8923607677"/>
    <s v="789 Pine Rd"/>
    <d v="2023-04-19T00:00:00"/>
    <x v="3"/>
    <s v="INS630089"/>
    <s v="david.smith@mail.com"/>
    <x v="2"/>
  </r>
  <r>
    <x v="89"/>
    <s v="P026"/>
    <x v="0"/>
    <x v="79"/>
    <d v="1899-12-30T17:30:00"/>
    <x v="2"/>
    <x v="1"/>
    <s v="John"/>
    <s v="Taylor"/>
    <s v="John Taylor"/>
    <s v="M"/>
    <d v="2003-11-28T00:00:00"/>
    <n v="22"/>
    <n v="9900972256"/>
    <s v="123 Elm St"/>
    <d v="2021-05-13T00:00:00"/>
    <x v="1"/>
    <s v="INS598863"/>
    <s v="john.taylor@mail.com"/>
    <x v="2"/>
  </r>
  <r>
    <x v="90"/>
    <s v="P010"/>
    <x v="2"/>
    <x v="80"/>
    <d v="1899-12-30T13:15:00"/>
    <x v="2"/>
    <x v="2"/>
    <s v="Michael"/>
    <s v="Taylor"/>
    <s v="Michael Taylor"/>
    <s v="M"/>
    <d v="2001-10-13T00:00:00"/>
    <n v="24"/>
    <n v="7081396733"/>
    <s v="123 Elm St"/>
    <d v="2022-08-24T00:00:00"/>
    <x v="0"/>
    <s v="INS866577"/>
    <s v="michael.taylor@mail.com"/>
    <x v="2"/>
  </r>
  <r>
    <x v="91"/>
    <s v="P026"/>
    <x v="8"/>
    <x v="81"/>
    <d v="1899-12-30T14:15:00"/>
    <x v="0"/>
    <x v="0"/>
    <s v="John"/>
    <s v="Taylor"/>
    <s v="John Taylor"/>
    <s v="M"/>
    <d v="2003-11-28T00:00:00"/>
    <n v="22"/>
    <n v="9900972256"/>
    <s v="123 Elm St"/>
    <d v="2021-05-13T00:00:00"/>
    <x v="1"/>
    <s v="INS598863"/>
    <s v="john.taylor@mail.com"/>
    <x v="2"/>
  </r>
  <r>
    <x v="92"/>
    <s v="P034"/>
    <x v="8"/>
    <x v="6"/>
    <d v="1899-12-30T09:30:00"/>
    <x v="4"/>
    <x v="3"/>
    <s v="Alex"/>
    <s v="Smith"/>
    <s v="Alex Smith"/>
    <s v="F"/>
    <d v="1950-01-26T00:00:00"/>
    <n v="76"/>
    <n v="8374657733"/>
    <s v="321 Maple Dr"/>
    <d v="2023-06-18T00:00:00"/>
    <x v="0"/>
    <s v="INS653880"/>
    <s v="alex.smith@mail.com"/>
    <x v="0"/>
  </r>
  <r>
    <x v="93"/>
    <s v="P041"/>
    <x v="6"/>
    <x v="82"/>
    <d v="1899-12-30T08:45:00"/>
    <x v="1"/>
    <x v="2"/>
    <s v="Robert"/>
    <s v="Williams"/>
    <s v="Robert Williams"/>
    <s v="M"/>
    <d v="1951-06-19T00:00:00"/>
    <n v="75"/>
    <n v="7020645498"/>
    <s v="456 Oak Ave"/>
    <d v="2022-07-16T00:00:00"/>
    <x v="0"/>
    <s v="INS997059"/>
    <s v="robert.williams@mail.com"/>
    <x v="0"/>
  </r>
  <r>
    <x v="94"/>
    <s v="P007"/>
    <x v="0"/>
    <x v="21"/>
    <d v="1899-12-30T10:15:00"/>
    <x v="0"/>
    <x v="2"/>
    <s v="Alex"/>
    <s v="Johnson"/>
    <s v="Alex Johnson"/>
    <s v="F"/>
    <d v="1989-06-08T00:00:00"/>
    <n v="37"/>
    <n v="6278710077"/>
    <s v="789 Pine Rd"/>
    <d v="2021-12-25T00:00:00"/>
    <x v="1"/>
    <s v="INS465890"/>
    <s v="alex.johnson@mail.com"/>
    <x v="1"/>
  </r>
  <r>
    <x v="95"/>
    <s v="P004"/>
    <x v="3"/>
    <x v="83"/>
    <d v="1899-12-30T15:00:00"/>
    <x v="1"/>
    <x v="3"/>
    <s v="Michael"/>
    <s v="Johnson"/>
    <s v="Michael Johnson"/>
    <s v="F"/>
    <d v="1981-02-20T00:00:00"/>
    <n v="45"/>
    <n v="9019443432"/>
    <s v="123 Elm St"/>
    <d v="2021-03-02T00:00:00"/>
    <x v="3"/>
    <s v="INS789944"/>
    <s v="michael.johnson@mail.com"/>
    <x v="1"/>
  </r>
  <r>
    <x v="96"/>
    <s v="P050"/>
    <x v="8"/>
    <x v="84"/>
    <d v="1899-12-30T14:45:00"/>
    <x v="4"/>
    <x v="1"/>
    <s v="Laura"/>
    <s v="Wilson"/>
    <s v="Laura Wilson"/>
    <s v="M"/>
    <d v="1993-12-27T00:00:00"/>
    <n v="32"/>
    <n v="8301134730"/>
    <s v="321 Maple Dr"/>
    <d v="2023-04-28T00:00:00"/>
    <x v="0"/>
    <s v="INS712210"/>
    <s v="laura.wilson@mail.com"/>
    <x v="2"/>
  </r>
  <r>
    <x v="97"/>
    <s v="P045"/>
    <x v="9"/>
    <x v="24"/>
    <d v="1899-12-30T13:00:00"/>
    <x v="2"/>
    <x v="3"/>
    <s v="Linda"/>
    <s v="Miller"/>
    <s v="Linda Miller"/>
    <s v="F"/>
    <d v="1966-04-25T00:00:00"/>
    <n v="60"/>
    <n v="7579616535"/>
    <s v="321 Maple Dr"/>
    <d v="2021-01-23T00:00:00"/>
    <x v="1"/>
    <s v="INS701863"/>
    <s v="linda.miller@mail.com"/>
    <x v="0"/>
  </r>
  <r>
    <x v="98"/>
    <s v="P011"/>
    <x v="4"/>
    <x v="85"/>
    <d v="1899-12-30T15:00:00"/>
    <x v="3"/>
    <x v="3"/>
    <s v="Emily"/>
    <s v="Jones"/>
    <s v="Emily Jones"/>
    <s v="F"/>
    <d v="1966-12-04T00:00:00"/>
    <n v="59"/>
    <n v="8990604070"/>
    <s v="789 Pine Rd"/>
    <d v="2022-09-27T00:00:00"/>
    <x v="1"/>
    <s v="INS172991"/>
    <s v="emily.jones@mail.com"/>
    <x v="0"/>
  </r>
  <r>
    <x v="99"/>
    <s v="P029"/>
    <x v="2"/>
    <x v="86"/>
    <d v="1899-12-30T08:00:00"/>
    <x v="2"/>
    <x v="0"/>
    <s v="David"/>
    <s v="Smith"/>
    <s v="David Smith"/>
    <s v="M"/>
    <d v="2005-05-15T00:00:00"/>
    <n v="21"/>
    <n v="8923607677"/>
    <s v="789 Pine Rd"/>
    <d v="2023-04-19T00:00:00"/>
    <x v="3"/>
    <s v="INS630089"/>
    <s v="david.smith@mail.com"/>
    <x v="2"/>
  </r>
  <r>
    <x v="100"/>
    <s v="P036"/>
    <x v="8"/>
    <x v="87"/>
    <d v="1899-12-30T13:15:00"/>
    <x v="0"/>
    <x v="0"/>
    <s v="Michael"/>
    <s v="Wilson"/>
    <s v="Michael Wilson"/>
    <s v="M"/>
    <d v="1997-12-26T00:00:00"/>
    <n v="28"/>
    <n v="8545613046"/>
    <s v="123 Elm St"/>
    <d v="2022-10-04T00:00:00"/>
    <x v="1"/>
    <s v="INS764076"/>
    <s v="michael.wilson@mail.com"/>
    <x v="2"/>
  </r>
  <r>
    <x v="101"/>
    <s v="P025"/>
    <x v="9"/>
    <x v="88"/>
    <d v="1899-12-30T09:00:00"/>
    <x v="3"/>
    <x v="1"/>
    <s v="Robert"/>
    <s v="Wilson"/>
    <s v="Robert Wilson"/>
    <s v="M"/>
    <d v="1966-08-14T00:00:00"/>
    <n v="60"/>
    <n v="7482069727"/>
    <s v="123 Elm St"/>
    <d v="2021-09-09T00:00:00"/>
    <x v="3"/>
    <s v="INS833429"/>
    <s v="robert.wilson@mail.com"/>
    <x v="0"/>
  </r>
  <r>
    <x v="102"/>
    <s v="P021"/>
    <x v="9"/>
    <x v="89"/>
    <d v="1899-12-30T08:30:00"/>
    <x v="0"/>
    <x v="2"/>
    <s v="Michael"/>
    <s v="Wilson"/>
    <s v="Michael Wilson"/>
    <s v="M"/>
    <d v="2002-03-01T00:00:00"/>
    <n v="24"/>
    <n v="7765390555"/>
    <s v="321 Maple Dr"/>
    <d v="2022-01-19T00:00:00"/>
    <x v="0"/>
    <s v="INS297392"/>
    <s v="michael.wilson@mail.com"/>
    <x v="2"/>
  </r>
  <r>
    <x v="103"/>
    <s v="P036"/>
    <x v="2"/>
    <x v="32"/>
    <d v="1899-12-30T08:45:00"/>
    <x v="4"/>
    <x v="3"/>
    <s v="Michael"/>
    <s v="Wilson"/>
    <s v="Michael Wilson"/>
    <s v="M"/>
    <d v="1997-12-26T00:00:00"/>
    <n v="28"/>
    <n v="8545613046"/>
    <s v="123 Elm St"/>
    <d v="2022-10-04T00:00:00"/>
    <x v="1"/>
    <s v="INS764076"/>
    <s v="michael.wilson@mail.com"/>
    <x v="2"/>
  </r>
  <r>
    <x v="104"/>
    <s v="P010"/>
    <x v="3"/>
    <x v="90"/>
    <d v="1899-12-30T16:00:00"/>
    <x v="3"/>
    <x v="1"/>
    <s v="Michael"/>
    <s v="Taylor"/>
    <s v="Michael Taylor"/>
    <s v="M"/>
    <d v="2001-10-13T00:00:00"/>
    <n v="24"/>
    <n v="7081396733"/>
    <s v="123 Elm St"/>
    <d v="2022-08-24T00:00:00"/>
    <x v="0"/>
    <s v="INS866577"/>
    <s v="michael.taylor@mail.com"/>
    <x v="2"/>
  </r>
  <r>
    <x v="105"/>
    <s v="P037"/>
    <x v="9"/>
    <x v="25"/>
    <d v="1899-12-30T11:15:00"/>
    <x v="0"/>
    <x v="0"/>
    <s v="Robert"/>
    <s v="Williams"/>
    <s v="Robert Williams"/>
    <s v="M"/>
    <d v="1999-02-05T00:00:00"/>
    <n v="27"/>
    <n v="8886800195"/>
    <s v="456 Oak Ave"/>
    <d v="2021-09-30T00:00:00"/>
    <x v="3"/>
    <s v="INS319963"/>
    <s v="robert.williams@mail.com"/>
    <x v="2"/>
  </r>
  <r>
    <x v="106"/>
    <s v="P009"/>
    <x v="4"/>
    <x v="36"/>
    <d v="1899-12-30T13:45:00"/>
    <x v="4"/>
    <x v="3"/>
    <s v="Laura"/>
    <s v="Davis"/>
    <s v="Laura Davis"/>
    <s v="M"/>
    <d v="1971-12-11T00:00:00"/>
    <n v="54"/>
    <n v="7060324619"/>
    <s v="321 Maple Dr"/>
    <d v="2022-09-18T00:00:00"/>
    <x v="2"/>
    <s v="INS136631"/>
    <s v="laura.davis@mail.com"/>
    <x v="1"/>
  </r>
  <r>
    <x v="107"/>
    <s v="P024"/>
    <x v="9"/>
    <x v="91"/>
    <d v="1899-12-30T15:00:00"/>
    <x v="2"/>
    <x v="2"/>
    <s v="Sarah"/>
    <s v="Brown"/>
    <s v="Sarah Brown"/>
    <s v="F"/>
    <d v="1991-11-04T00:00:00"/>
    <n v="34"/>
    <n v="7196777444"/>
    <s v="321 Maple Dr"/>
    <d v="2021-09-02T00:00:00"/>
    <x v="0"/>
    <s v="INS493002"/>
    <s v="sarah.brown@mail.com"/>
    <x v="2"/>
  </r>
  <r>
    <x v="108"/>
    <s v="P035"/>
    <x v="9"/>
    <x v="92"/>
    <d v="1899-12-30T14:00:00"/>
    <x v="4"/>
    <x v="0"/>
    <s v="David"/>
    <s v="Wilson"/>
    <s v="David Wilson"/>
    <s v="F"/>
    <d v="1993-04-13T00:00:00"/>
    <n v="33"/>
    <n v="7039619487"/>
    <s v="123 Elm St"/>
    <d v="2023-07-09T00:00:00"/>
    <x v="1"/>
    <s v="INS897079"/>
    <s v="david.wilson@mail.com"/>
    <x v="2"/>
  </r>
  <r>
    <x v="109"/>
    <s v="P049"/>
    <x v="9"/>
    <x v="93"/>
    <d v="1899-12-30T14:30:00"/>
    <x v="1"/>
    <x v="0"/>
    <s v="David"/>
    <s v="Moore"/>
    <s v="David Moore"/>
    <s v="M"/>
    <d v="1972-11-26T00:00:00"/>
    <n v="53"/>
    <n v="7712937941"/>
    <s v="321 Maple Dr"/>
    <d v="2023-06-14T00:00:00"/>
    <x v="1"/>
    <s v="INS584299"/>
    <s v="david.moore@mail.com"/>
    <x v="1"/>
  </r>
  <r>
    <x v="110"/>
    <s v="P035"/>
    <x v="5"/>
    <x v="94"/>
    <d v="1899-12-30T15:30:00"/>
    <x v="4"/>
    <x v="0"/>
    <s v="David"/>
    <s v="Wilson"/>
    <s v="David Wilson"/>
    <s v="F"/>
    <d v="1993-04-13T00:00:00"/>
    <n v="33"/>
    <n v="7039619487"/>
    <s v="123 Elm St"/>
    <d v="2023-07-09T00:00:00"/>
    <x v="1"/>
    <s v="INS897079"/>
    <s v="david.wilson@mail.com"/>
    <x v="2"/>
  </r>
  <r>
    <x v="111"/>
    <s v="P048"/>
    <x v="5"/>
    <x v="95"/>
    <d v="1899-12-30T08:00:00"/>
    <x v="4"/>
    <x v="1"/>
    <s v="Emily"/>
    <s v="Miller"/>
    <s v="Emily Miller"/>
    <s v="M"/>
    <d v="1983-03-24T00:00:00"/>
    <n v="43"/>
    <n v="8720989381"/>
    <s v="123 Elm St"/>
    <d v="2023-06-19T00:00:00"/>
    <x v="2"/>
    <s v="INS694319"/>
    <s v="emily.miller@mail.com"/>
    <x v="1"/>
  </r>
  <r>
    <x v="112"/>
    <s v="P036"/>
    <x v="3"/>
    <x v="96"/>
    <d v="1899-12-30T15:30:00"/>
    <x v="1"/>
    <x v="2"/>
    <s v="Michael"/>
    <s v="Wilson"/>
    <s v="Michael Wilson"/>
    <s v="M"/>
    <d v="1997-12-26T00:00:00"/>
    <n v="28"/>
    <n v="8545613046"/>
    <s v="123 Elm St"/>
    <d v="2022-10-04T00:00:00"/>
    <x v="1"/>
    <s v="INS764076"/>
    <s v="michael.wilson@mail.com"/>
    <x v="2"/>
  </r>
  <r>
    <x v="113"/>
    <s v="P018"/>
    <x v="8"/>
    <x v="97"/>
    <d v="1899-12-30T09:00:00"/>
    <x v="0"/>
    <x v="3"/>
    <s v="Laura"/>
    <s v="Wilson"/>
    <s v="Laura Wilson"/>
    <s v="M"/>
    <d v="1979-09-24T00:00:00"/>
    <n v="46"/>
    <n v="7145815738"/>
    <s v="789 Pine Rd"/>
    <d v="2022-09-23T00:00:00"/>
    <x v="2"/>
    <s v="INS635017"/>
    <s v="laura.wilson@mail.com"/>
    <x v="1"/>
  </r>
  <r>
    <x v="114"/>
    <s v="P049"/>
    <x v="9"/>
    <x v="88"/>
    <d v="1899-12-30T10:30:00"/>
    <x v="0"/>
    <x v="1"/>
    <s v="David"/>
    <s v="Moore"/>
    <s v="David Moore"/>
    <s v="M"/>
    <d v="1972-11-26T00:00:00"/>
    <n v="53"/>
    <n v="7712937941"/>
    <s v="321 Maple Dr"/>
    <d v="2023-06-14T00:00:00"/>
    <x v="1"/>
    <s v="INS584299"/>
    <s v="david.moore@mail.com"/>
    <x v="1"/>
  </r>
  <r>
    <x v="115"/>
    <s v="P039"/>
    <x v="0"/>
    <x v="83"/>
    <d v="1899-12-30T09:15:00"/>
    <x v="4"/>
    <x v="1"/>
    <s v="Jane"/>
    <s v="Wilson"/>
    <s v="Jane Wilson"/>
    <s v="F"/>
    <d v="1950-12-12T00:00:00"/>
    <n v="75"/>
    <n v="9271131338"/>
    <s v="789 Pine Rd"/>
    <d v="2021-03-09T00:00:00"/>
    <x v="2"/>
    <s v="INS348710"/>
    <s v="jane.wilson@mail.com"/>
    <x v="0"/>
  </r>
  <r>
    <x v="116"/>
    <s v="P032"/>
    <x v="8"/>
    <x v="98"/>
    <d v="1899-12-30T13:45:00"/>
    <x v="1"/>
    <x v="1"/>
    <s v="Alex"/>
    <s v="Moore"/>
    <s v="Alex Moore"/>
    <s v="M"/>
    <d v="1981-01-08T00:00:00"/>
    <n v="45"/>
    <n v="8102183595"/>
    <s v="123 Elm St"/>
    <d v="2021-10-02T00:00:00"/>
    <x v="1"/>
    <s v="INS335362"/>
    <s v="alex.moore@mail.com"/>
    <x v="1"/>
  </r>
  <r>
    <x v="117"/>
    <s v="P024"/>
    <x v="3"/>
    <x v="0"/>
    <d v="1899-12-30T08:15:00"/>
    <x v="1"/>
    <x v="0"/>
    <s v="Sarah"/>
    <s v="Brown"/>
    <s v="Sarah Brown"/>
    <s v="F"/>
    <d v="1991-11-04T00:00:00"/>
    <n v="34"/>
    <n v="7196777444"/>
    <s v="321 Maple Dr"/>
    <d v="2021-09-02T00:00:00"/>
    <x v="0"/>
    <s v="INS493002"/>
    <s v="sarah.brown@mail.com"/>
    <x v="2"/>
  </r>
  <r>
    <x v="118"/>
    <s v="P023"/>
    <x v="1"/>
    <x v="99"/>
    <d v="1899-12-30T13:30:00"/>
    <x v="2"/>
    <x v="2"/>
    <s v="Linda"/>
    <s v="Johnson"/>
    <s v="Linda Johnson"/>
    <s v="M"/>
    <d v="1994-02-22T00:00:00"/>
    <n v="32"/>
    <n v="6141951830"/>
    <s v="789 Pine Rd"/>
    <d v="2021-12-27T00:00:00"/>
    <x v="0"/>
    <s v="INS730152"/>
    <s v="linda.johnson@mail.com"/>
    <x v="2"/>
  </r>
  <r>
    <x v="119"/>
    <s v="P032"/>
    <x v="8"/>
    <x v="100"/>
    <d v="1899-12-30T11:00:00"/>
    <x v="0"/>
    <x v="1"/>
    <s v="Alex"/>
    <s v="Moore"/>
    <s v="Alex Moore"/>
    <s v="M"/>
    <d v="1981-01-08T00:00:00"/>
    <n v="45"/>
    <n v="8102183595"/>
    <s v="123 Elm St"/>
    <d v="2021-10-02T00:00:00"/>
    <x v="1"/>
    <s v="INS335362"/>
    <s v="alex.moore@mail.com"/>
    <x v="1"/>
  </r>
  <r>
    <x v="120"/>
    <s v="P037"/>
    <x v="8"/>
    <x v="101"/>
    <d v="1899-12-30T15:00:00"/>
    <x v="3"/>
    <x v="3"/>
    <s v="Robert"/>
    <s v="Williams"/>
    <s v="Robert Williams"/>
    <s v="M"/>
    <d v="1999-02-05T00:00:00"/>
    <n v="27"/>
    <n v="8886800195"/>
    <s v="456 Oak Ave"/>
    <d v="2021-09-30T00:00:00"/>
    <x v="3"/>
    <s v="INS319963"/>
    <s v="robert.williams@mail.com"/>
    <x v="2"/>
  </r>
  <r>
    <x v="121"/>
    <s v="P012"/>
    <x v="7"/>
    <x v="16"/>
    <d v="1899-12-30T14:30:00"/>
    <x v="0"/>
    <x v="2"/>
    <s v="Laura"/>
    <s v="Davis"/>
    <s v="Laura Davis"/>
    <s v="F"/>
    <d v="1991-12-08T00:00:00"/>
    <n v="34"/>
    <n v="8135666049"/>
    <s v="321 Maple Dr"/>
    <d v="2023-04-27T00:00:00"/>
    <x v="1"/>
    <s v="INS104014"/>
    <s v="laura.davis@mail.com"/>
    <x v="2"/>
  </r>
  <r>
    <x v="122"/>
    <s v="P049"/>
    <x v="6"/>
    <x v="102"/>
    <d v="1899-12-30T10:45:00"/>
    <x v="0"/>
    <x v="3"/>
    <s v="David"/>
    <s v="Moore"/>
    <s v="David Moore"/>
    <s v="M"/>
    <d v="1972-11-26T00:00:00"/>
    <n v="53"/>
    <n v="7712937941"/>
    <s v="321 Maple Dr"/>
    <d v="2023-06-14T00:00:00"/>
    <x v="1"/>
    <s v="INS584299"/>
    <s v="david.moore@mail.com"/>
    <x v="1"/>
  </r>
  <r>
    <x v="123"/>
    <s v="P013"/>
    <x v="7"/>
    <x v="103"/>
    <d v="1899-12-30T17:15:00"/>
    <x v="2"/>
    <x v="2"/>
    <s v="Laura"/>
    <s v="Johnson"/>
    <s v="Laura Johnson"/>
    <s v="F"/>
    <d v="1990-03-28T00:00:00"/>
    <n v="36"/>
    <n v="9059178882"/>
    <s v="321 Maple Dr"/>
    <d v="2021-12-23T00:00:00"/>
    <x v="0"/>
    <s v="INS373237"/>
    <s v="laura.johnson@mail.com"/>
    <x v="1"/>
  </r>
  <r>
    <x v="124"/>
    <s v="P023"/>
    <x v="4"/>
    <x v="76"/>
    <d v="1899-12-30T10:15:00"/>
    <x v="3"/>
    <x v="3"/>
    <s v="Linda"/>
    <s v="Johnson"/>
    <s v="Linda Johnson"/>
    <s v="M"/>
    <d v="1994-02-22T00:00:00"/>
    <n v="32"/>
    <n v="6141951830"/>
    <s v="789 Pine Rd"/>
    <d v="2021-12-27T00:00:00"/>
    <x v="0"/>
    <s v="INS730152"/>
    <s v="linda.johnson@mail.com"/>
    <x v="2"/>
  </r>
  <r>
    <x v="125"/>
    <s v="P025"/>
    <x v="5"/>
    <x v="104"/>
    <d v="1899-12-30T09:45:00"/>
    <x v="2"/>
    <x v="0"/>
    <s v="Robert"/>
    <s v="Wilson"/>
    <s v="Robert Wilson"/>
    <s v="M"/>
    <d v="1966-08-14T00:00:00"/>
    <n v="60"/>
    <n v="7482069727"/>
    <s v="123 Elm St"/>
    <d v="2021-09-09T00:00:00"/>
    <x v="3"/>
    <s v="INS833429"/>
    <s v="robert.wilson@mail.com"/>
    <x v="0"/>
  </r>
  <r>
    <x v="126"/>
    <s v="P035"/>
    <x v="5"/>
    <x v="105"/>
    <d v="1899-12-30T08:30:00"/>
    <x v="3"/>
    <x v="1"/>
    <s v="David"/>
    <s v="Wilson"/>
    <s v="David Wilson"/>
    <s v="F"/>
    <d v="1993-04-13T00:00:00"/>
    <n v="33"/>
    <n v="7039619487"/>
    <s v="123 Elm St"/>
    <d v="2023-07-09T00:00:00"/>
    <x v="1"/>
    <s v="INS897079"/>
    <s v="david.wilson@mail.com"/>
    <x v="2"/>
  </r>
  <r>
    <x v="127"/>
    <s v="P041"/>
    <x v="6"/>
    <x v="53"/>
    <d v="1899-12-30T14:45:00"/>
    <x v="4"/>
    <x v="3"/>
    <s v="Robert"/>
    <s v="Williams"/>
    <s v="Robert Williams"/>
    <s v="M"/>
    <d v="1951-06-19T00:00:00"/>
    <n v="75"/>
    <n v="7020645498"/>
    <s v="456 Oak Ave"/>
    <d v="2022-07-16T00:00:00"/>
    <x v="0"/>
    <s v="INS997059"/>
    <s v="robert.williams@mail.com"/>
    <x v="0"/>
  </r>
  <r>
    <x v="128"/>
    <s v="P030"/>
    <x v="2"/>
    <x v="106"/>
    <d v="1899-12-30T09:30:00"/>
    <x v="3"/>
    <x v="2"/>
    <s v="Emily"/>
    <s v="Moore"/>
    <s v="Emily Moore"/>
    <s v="M"/>
    <d v="1964-12-23T00:00:00"/>
    <n v="61"/>
    <n v="6622318721"/>
    <s v="456 Oak Ave"/>
    <d v="2021-08-07T00:00:00"/>
    <x v="2"/>
    <s v="INS250262"/>
    <s v="emily.moore@mail.com"/>
    <x v="0"/>
  </r>
  <r>
    <x v="129"/>
    <s v="P017"/>
    <x v="2"/>
    <x v="35"/>
    <d v="1899-12-30T15:00:00"/>
    <x v="2"/>
    <x v="1"/>
    <s v="Jane"/>
    <s v="Jones"/>
    <s v="Jane Jones"/>
    <s v="M"/>
    <d v="1991-05-01T00:00:00"/>
    <n v="35"/>
    <n v="6158428240"/>
    <s v="456 Oak Ave"/>
    <d v="2022-09-26T00:00:00"/>
    <x v="0"/>
    <s v="INS182074"/>
    <s v="jane.jones@mail.com"/>
    <x v="2"/>
  </r>
  <r>
    <x v="130"/>
    <s v="P049"/>
    <x v="3"/>
    <x v="107"/>
    <d v="1899-12-30T16:30:00"/>
    <x v="0"/>
    <x v="1"/>
    <s v="David"/>
    <s v="Moore"/>
    <s v="David Moore"/>
    <s v="M"/>
    <d v="1972-11-26T00:00:00"/>
    <n v="53"/>
    <n v="7712937941"/>
    <s v="321 Maple Dr"/>
    <d v="2023-06-14T00:00:00"/>
    <x v="1"/>
    <s v="INS584299"/>
    <s v="david.moore@mail.com"/>
    <x v="1"/>
  </r>
  <r>
    <x v="131"/>
    <s v="P020"/>
    <x v="6"/>
    <x v="108"/>
    <d v="1899-12-30T10:45:00"/>
    <x v="3"/>
    <x v="2"/>
    <s v="Jane"/>
    <s v="Moore"/>
    <s v="Jane Moore"/>
    <s v="F"/>
    <d v="2003-06-06T00:00:00"/>
    <n v="23"/>
    <n v="8158989953"/>
    <s v="789 Pine Rd"/>
    <d v="2022-04-03T00:00:00"/>
    <x v="1"/>
    <s v="INS276089"/>
    <s v="jane.moore@mail.com"/>
    <x v="2"/>
  </r>
  <r>
    <x v="132"/>
    <s v="P048"/>
    <x v="8"/>
    <x v="109"/>
    <d v="1899-12-30T14:30:00"/>
    <x v="3"/>
    <x v="3"/>
    <s v="Emily"/>
    <s v="Miller"/>
    <s v="Emily Miller"/>
    <s v="M"/>
    <d v="1983-03-24T00:00:00"/>
    <n v="43"/>
    <n v="8720989381"/>
    <s v="123 Elm St"/>
    <d v="2023-06-19T00:00:00"/>
    <x v="2"/>
    <s v="INS694319"/>
    <s v="emily.miller@mail.com"/>
    <x v="1"/>
  </r>
  <r>
    <x v="133"/>
    <s v="P025"/>
    <x v="2"/>
    <x v="110"/>
    <d v="1899-12-30T15:15:00"/>
    <x v="1"/>
    <x v="0"/>
    <s v="Robert"/>
    <s v="Wilson"/>
    <s v="Robert Wilson"/>
    <s v="M"/>
    <d v="1966-08-14T00:00:00"/>
    <n v="60"/>
    <n v="7482069727"/>
    <s v="123 Elm St"/>
    <d v="2021-09-09T00:00:00"/>
    <x v="3"/>
    <s v="INS833429"/>
    <s v="robert.wilson@mail.com"/>
    <x v="0"/>
  </r>
  <r>
    <x v="134"/>
    <s v="P022"/>
    <x v="9"/>
    <x v="111"/>
    <d v="1899-12-30T16:30:00"/>
    <x v="0"/>
    <x v="0"/>
    <s v="John"/>
    <s v="Brown"/>
    <s v="John Brown"/>
    <s v="M"/>
    <d v="1955-05-10T00:00:00"/>
    <n v="71"/>
    <n v="6221099573"/>
    <s v="321 Maple Dr"/>
    <d v="2021-05-11T00:00:00"/>
    <x v="1"/>
    <s v="INS258823"/>
    <s v="john.brown@mail.com"/>
    <x v="0"/>
  </r>
  <r>
    <x v="135"/>
    <s v="P013"/>
    <x v="0"/>
    <x v="112"/>
    <d v="1899-12-30T12:30:00"/>
    <x v="4"/>
    <x v="3"/>
    <s v="Laura"/>
    <s v="Johnson"/>
    <s v="Laura Johnson"/>
    <s v="F"/>
    <d v="1990-03-28T00:00:00"/>
    <n v="36"/>
    <n v="9059178882"/>
    <s v="321 Maple Dr"/>
    <d v="2021-12-23T00:00:00"/>
    <x v="0"/>
    <s v="INS373237"/>
    <s v="laura.johnson@mail.com"/>
    <x v="1"/>
  </r>
  <r>
    <x v="136"/>
    <s v="P019"/>
    <x v="8"/>
    <x v="88"/>
    <d v="1899-12-30T10:00:00"/>
    <x v="2"/>
    <x v="1"/>
    <s v="Sarah"/>
    <s v="Miller"/>
    <s v="Sarah Miller"/>
    <s v="M"/>
    <d v="1975-05-24T00:00:00"/>
    <n v="51"/>
    <n v="8618058864"/>
    <s v="789 Pine Rd"/>
    <d v="2023-06-24T00:00:00"/>
    <x v="0"/>
    <s v="INS855073"/>
    <s v="sarah.miller@mail.com"/>
    <x v="1"/>
  </r>
  <r>
    <x v="137"/>
    <s v="P049"/>
    <x v="4"/>
    <x v="71"/>
    <d v="1899-12-30T15:15:00"/>
    <x v="4"/>
    <x v="1"/>
    <s v="David"/>
    <s v="Moore"/>
    <s v="David Moore"/>
    <s v="M"/>
    <d v="1972-11-26T00:00:00"/>
    <n v="53"/>
    <n v="7712937941"/>
    <s v="321 Maple Dr"/>
    <d v="2023-06-14T00:00:00"/>
    <x v="1"/>
    <s v="INS584299"/>
    <s v="david.moore@mail.com"/>
    <x v="1"/>
  </r>
  <r>
    <x v="138"/>
    <s v="P036"/>
    <x v="9"/>
    <x v="113"/>
    <d v="1899-12-30T10:45:00"/>
    <x v="0"/>
    <x v="1"/>
    <s v="Michael"/>
    <s v="Wilson"/>
    <s v="Michael Wilson"/>
    <s v="M"/>
    <d v="1997-12-26T00:00:00"/>
    <n v="28"/>
    <n v="8545613046"/>
    <s v="123 Elm St"/>
    <d v="2022-10-04T00:00:00"/>
    <x v="1"/>
    <s v="INS764076"/>
    <s v="michael.wilson@mail.com"/>
    <x v="2"/>
  </r>
  <r>
    <x v="139"/>
    <s v="P012"/>
    <x v="9"/>
    <x v="114"/>
    <d v="1899-12-30T15:15:00"/>
    <x v="3"/>
    <x v="1"/>
    <s v="Laura"/>
    <s v="Davis"/>
    <s v="Laura Davis"/>
    <s v="F"/>
    <d v="1991-12-08T00:00:00"/>
    <n v="34"/>
    <n v="8135666049"/>
    <s v="321 Maple Dr"/>
    <d v="2023-04-27T00:00:00"/>
    <x v="1"/>
    <s v="INS104014"/>
    <s v="laura.davis@mail.com"/>
    <x v="2"/>
  </r>
  <r>
    <x v="140"/>
    <s v="P041"/>
    <x v="6"/>
    <x v="115"/>
    <d v="1899-12-30T15:15:00"/>
    <x v="3"/>
    <x v="3"/>
    <s v="Robert"/>
    <s v="Williams"/>
    <s v="Robert Williams"/>
    <s v="M"/>
    <d v="1951-06-19T00:00:00"/>
    <n v="75"/>
    <n v="7020645498"/>
    <s v="456 Oak Ave"/>
    <d v="2022-07-16T00:00:00"/>
    <x v="0"/>
    <s v="INS997059"/>
    <s v="robert.williams@mail.com"/>
    <x v="0"/>
  </r>
  <r>
    <x v="141"/>
    <s v="P019"/>
    <x v="3"/>
    <x v="116"/>
    <d v="1899-12-30T11:45:00"/>
    <x v="0"/>
    <x v="1"/>
    <s v="Sarah"/>
    <s v="Miller"/>
    <s v="Sarah Miller"/>
    <s v="M"/>
    <d v="1975-05-24T00:00:00"/>
    <n v="51"/>
    <n v="8618058864"/>
    <s v="789 Pine Rd"/>
    <d v="2023-06-24T00:00:00"/>
    <x v="0"/>
    <s v="INS855073"/>
    <s v="sarah.miller@mail.com"/>
    <x v="1"/>
  </r>
  <r>
    <x v="142"/>
    <s v="P012"/>
    <x v="4"/>
    <x v="87"/>
    <d v="1899-12-30T12:15:00"/>
    <x v="3"/>
    <x v="2"/>
    <s v="Laura"/>
    <s v="Davis"/>
    <s v="Laura Davis"/>
    <s v="F"/>
    <d v="1991-12-08T00:00:00"/>
    <n v="34"/>
    <n v="8135666049"/>
    <s v="321 Maple Dr"/>
    <d v="2023-04-27T00:00:00"/>
    <x v="1"/>
    <s v="INS104014"/>
    <s v="laura.davis@mail.com"/>
    <x v="2"/>
  </r>
  <r>
    <x v="143"/>
    <s v="P009"/>
    <x v="2"/>
    <x v="12"/>
    <d v="1899-12-30T12:15:00"/>
    <x v="3"/>
    <x v="1"/>
    <s v="Laura"/>
    <s v="Davis"/>
    <s v="Laura Davis"/>
    <s v="M"/>
    <d v="1971-12-11T00:00:00"/>
    <n v="54"/>
    <n v="7060324619"/>
    <s v="321 Maple Dr"/>
    <d v="2022-09-18T00:00:00"/>
    <x v="2"/>
    <s v="INS136631"/>
    <s v="laura.davis@mail.com"/>
    <x v="1"/>
  </r>
  <r>
    <x v="144"/>
    <s v="P007"/>
    <x v="6"/>
    <x v="117"/>
    <d v="1899-12-30T14:45:00"/>
    <x v="3"/>
    <x v="0"/>
    <s v="Alex"/>
    <s v="Johnson"/>
    <s v="Alex Johnson"/>
    <s v="F"/>
    <d v="1989-06-08T00:00:00"/>
    <n v="37"/>
    <n v="6278710077"/>
    <s v="789 Pine Rd"/>
    <d v="2021-12-25T00:00:00"/>
    <x v="1"/>
    <s v="INS465890"/>
    <s v="alex.johnson@mail.com"/>
    <x v="1"/>
  </r>
  <r>
    <x v="145"/>
    <s v="P028"/>
    <x v="2"/>
    <x v="118"/>
    <d v="1899-12-30T09:30:00"/>
    <x v="2"/>
    <x v="1"/>
    <s v="Alex"/>
    <s v="Moore"/>
    <s v="Alex Moore"/>
    <s v="M"/>
    <d v="1993-04-13T00:00:00"/>
    <n v="33"/>
    <n v="7028910482"/>
    <s v="321 Maple Dr"/>
    <d v="2023-05-20T00:00:00"/>
    <x v="1"/>
    <s v="INS679036"/>
    <s v="alex.moore@mail.com"/>
    <x v="2"/>
  </r>
  <r>
    <x v="146"/>
    <s v="P014"/>
    <x v="6"/>
    <x v="105"/>
    <d v="1899-12-30T17:30:00"/>
    <x v="2"/>
    <x v="3"/>
    <s v="Alex"/>
    <s v="Taylor"/>
    <s v="Alex Taylor"/>
    <s v="M"/>
    <d v="1968-02-27T00:00:00"/>
    <n v="58"/>
    <n v="7292262512"/>
    <s v="789 Pine Rd"/>
    <d v="2023-12-12T00:00:00"/>
    <x v="1"/>
    <s v="INS118070"/>
    <s v="alex.taylor@mail.com"/>
    <x v="0"/>
  </r>
  <r>
    <x v="147"/>
    <s v="P031"/>
    <x v="6"/>
    <x v="119"/>
    <d v="1899-12-30T08:30:00"/>
    <x v="1"/>
    <x v="0"/>
    <s v="Robert"/>
    <s v="Miller"/>
    <s v="Robert Miller"/>
    <s v="M"/>
    <d v="1987-01-14T00:00:00"/>
    <n v="39"/>
    <n v="8280346676"/>
    <s v="321 Maple Dr"/>
    <d v="2022-06-28T00:00:00"/>
    <x v="0"/>
    <s v="INS542905"/>
    <s v="robert.miller@mail.com"/>
    <x v="1"/>
  </r>
  <r>
    <x v="148"/>
    <s v="P019"/>
    <x v="6"/>
    <x v="108"/>
    <d v="1899-12-30T12:30:00"/>
    <x v="4"/>
    <x v="3"/>
    <s v="Sarah"/>
    <s v="Miller"/>
    <s v="Sarah Miller"/>
    <s v="M"/>
    <d v="1975-05-24T00:00:00"/>
    <n v="51"/>
    <n v="8618058864"/>
    <s v="789 Pine Rd"/>
    <d v="2023-06-24T00:00:00"/>
    <x v="0"/>
    <s v="INS855073"/>
    <s v="sarah.miller@mail.com"/>
    <x v="1"/>
  </r>
  <r>
    <x v="149"/>
    <s v="P047"/>
    <x v="3"/>
    <x v="12"/>
    <d v="1899-12-30T10:45:00"/>
    <x v="0"/>
    <x v="3"/>
    <s v="Jane"/>
    <s v="Moore"/>
    <s v="Jane Moore"/>
    <s v="M"/>
    <d v="1995-12-13T00:00:00"/>
    <n v="30"/>
    <n v="8715732851"/>
    <s v="321 Maple Dr"/>
    <d v="2022-05-20T00:00:00"/>
    <x v="0"/>
    <s v="INS337549"/>
    <s v="jane.moore@mail.com"/>
    <x v="2"/>
  </r>
  <r>
    <x v="150"/>
    <s v="P016"/>
    <x v="6"/>
    <x v="120"/>
    <d v="1899-12-30T09:15:00"/>
    <x v="0"/>
    <x v="0"/>
    <s v="Michael"/>
    <s v="Taylor"/>
    <s v="Michael Taylor"/>
    <s v="M"/>
    <d v="2000-07-22T00:00:00"/>
    <n v="26"/>
    <n v="7223380592"/>
    <s v="789 Pine Rd"/>
    <d v="2021-07-23T00:00:00"/>
    <x v="2"/>
    <s v="INS156958"/>
    <s v="michael.taylor@mail.com"/>
    <x v="2"/>
  </r>
  <r>
    <x v="151"/>
    <s v="P005"/>
    <x v="1"/>
    <x v="121"/>
    <d v="1899-12-30T08:30:00"/>
    <x v="0"/>
    <x v="3"/>
    <s v="David"/>
    <s v="Wilson"/>
    <s v="David Wilson"/>
    <s v="M"/>
    <d v="1960-06-23T00:00:00"/>
    <n v="66"/>
    <n v="7734463155"/>
    <s v="123 Elm St"/>
    <d v="2021-09-29T00:00:00"/>
    <x v="1"/>
    <s v="INS788105"/>
    <s v="david.wilson@mail.com"/>
    <x v="0"/>
  </r>
  <r>
    <x v="152"/>
    <s v="P035"/>
    <x v="0"/>
    <x v="122"/>
    <d v="1899-12-30T12:45:00"/>
    <x v="1"/>
    <x v="3"/>
    <s v="David"/>
    <s v="Wilson"/>
    <s v="David Wilson"/>
    <s v="F"/>
    <d v="1993-04-13T00:00:00"/>
    <n v="33"/>
    <n v="7039619487"/>
    <s v="123 Elm St"/>
    <d v="2023-07-09T00:00:00"/>
    <x v="1"/>
    <s v="INS897079"/>
    <s v="david.wilson@mail.com"/>
    <x v="2"/>
  </r>
  <r>
    <x v="153"/>
    <s v="P012"/>
    <x v="2"/>
    <x v="123"/>
    <d v="1899-12-30T17:30:00"/>
    <x v="2"/>
    <x v="1"/>
    <s v="Laura"/>
    <s v="Davis"/>
    <s v="Laura Davis"/>
    <s v="F"/>
    <d v="1991-12-08T00:00:00"/>
    <n v="34"/>
    <n v="8135666049"/>
    <s v="321 Maple Dr"/>
    <d v="2023-04-27T00:00:00"/>
    <x v="1"/>
    <s v="INS104014"/>
    <s v="laura.davis@mail.com"/>
    <x v="2"/>
  </r>
  <r>
    <x v="154"/>
    <s v="P025"/>
    <x v="8"/>
    <x v="124"/>
    <d v="1899-12-30T09:30:00"/>
    <x v="1"/>
    <x v="2"/>
    <s v="Robert"/>
    <s v="Wilson"/>
    <s v="Robert Wilson"/>
    <s v="M"/>
    <d v="1966-08-14T00:00:00"/>
    <n v="60"/>
    <n v="7482069727"/>
    <s v="123 Elm St"/>
    <d v="2021-09-09T00:00:00"/>
    <x v="3"/>
    <s v="INS833429"/>
    <s v="robert.wilson@mail.com"/>
    <x v="0"/>
  </r>
  <r>
    <x v="155"/>
    <s v="P021"/>
    <x v="7"/>
    <x v="55"/>
    <d v="1899-12-30T14:30:00"/>
    <x v="0"/>
    <x v="3"/>
    <s v="Michael"/>
    <s v="Wilson"/>
    <s v="Michael Wilson"/>
    <s v="M"/>
    <d v="2002-03-01T00:00:00"/>
    <n v="24"/>
    <n v="7765390555"/>
    <s v="321 Maple Dr"/>
    <d v="2022-01-19T00:00:00"/>
    <x v="0"/>
    <s v="INS297392"/>
    <s v="michael.wilson@mail.com"/>
    <x v="2"/>
  </r>
  <r>
    <x v="156"/>
    <s v="P036"/>
    <x v="4"/>
    <x v="125"/>
    <d v="1899-12-30T11:00:00"/>
    <x v="4"/>
    <x v="3"/>
    <s v="Michael"/>
    <s v="Wilson"/>
    <s v="Michael Wilson"/>
    <s v="M"/>
    <d v="1997-12-26T00:00:00"/>
    <n v="28"/>
    <n v="8545613046"/>
    <s v="123 Elm St"/>
    <d v="2022-10-04T00:00:00"/>
    <x v="1"/>
    <s v="INS764076"/>
    <s v="michael.wilson@mail.com"/>
    <x v="2"/>
  </r>
  <r>
    <x v="157"/>
    <s v="P023"/>
    <x v="5"/>
    <x v="48"/>
    <d v="1899-12-30T12:15:00"/>
    <x v="3"/>
    <x v="3"/>
    <s v="Linda"/>
    <s v="Johnson"/>
    <s v="Linda Johnson"/>
    <s v="M"/>
    <d v="1994-02-22T00:00:00"/>
    <n v="32"/>
    <n v="6141951830"/>
    <s v="789 Pine Rd"/>
    <d v="2021-12-27T00:00:00"/>
    <x v="0"/>
    <s v="INS730152"/>
    <s v="linda.johnson@mail.com"/>
    <x v="2"/>
  </r>
  <r>
    <x v="158"/>
    <s v="P016"/>
    <x v="3"/>
    <x v="82"/>
    <d v="1899-12-30T16:15:00"/>
    <x v="2"/>
    <x v="1"/>
    <s v="Michael"/>
    <s v="Taylor"/>
    <s v="Michael Taylor"/>
    <s v="M"/>
    <d v="2000-07-22T00:00:00"/>
    <n v="26"/>
    <n v="7223380592"/>
    <s v="789 Pine Rd"/>
    <d v="2021-07-23T00:00:00"/>
    <x v="2"/>
    <s v="INS156958"/>
    <s v="michael.taylor@mail.com"/>
    <x v="2"/>
  </r>
  <r>
    <x v="159"/>
    <s v="P039"/>
    <x v="8"/>
    <x v="126"/>
    <d v="1899-12-30T12:45:00"/>
    <x v="2"/>
    <x v="2"/>
    <s v="Jane"/>
    <s v="Wilson"/>
    <s v="Jane Wilson"/>
    <s v="F"/>
    <d v="1950-12-12T00:00:00"/>
    <n v="75"/>
    <n v="9271131338"/>
    <s v="789 Pine Rd"/>
    <d v="2021-03-09T00:00:00"/>
    <x v="2"/>
    <s v="INS348710"/>
    <s v="jane.wilson@mail.com"/>
    <x v="0"/>
  </r>
  <r>
    <x v="160"/>
    <s v="P045"/>
    <x v="9"/>
    <x v="127"/>
    <d v="1899-12-30T10:45:00"/>
    <x v="1"/>
    <x v="0"/>
    <s v="Linda"/>
    <s v="Miller"/>
    <s v="Linda Miller"/>
    <s v="F"/>
    <d v="1966-04-25T00:00:00"/>
    <n v="60"/>
    <n v="7579616535"/>
    <s v="321 Maple Dr"/>
    <d v="2021-01-23T00:00:00"/>
    <x v="1"/>
    <s v="INS701863"/>
    <s v="linda.miller@mail.com"/>
    <x v="0"/>
  </r>
  <r>
    <x v="161"/>
    <s v="P042"/>
    <x v="1"/>
    <x v="38"/>
    <d v="1899-12-30T17:15:00"/>
    <x v="2"/>
    <x v="1"/>
    <s v="Jane"/>
    <s v="Smith"/>
    <s v="Jane Smith"/>
    <s v="F"/>
    <d v="1954-08-22T00:00:00"/>
    <n v="72"/>
    <n v="7040069008"/>
    <s v="789 Pine Rd"/>
    <d v="2022-03-15T00:00:00"/>
    <x v="1"/>
    <s v="INS956748"/>
    <s v="jane.smith@mail.com"/>
    <x v="0"/>
  </r>
  <r>
    <x v="162"/>
    <s v="P039"/>
    <x v="5"/>
    <x v="128"/>
    <d v="1899-12-30T15:00:00"/>
    <x v="0"/>
    <x v="1"/>
    <s v="Jane"/>
    <s v="Wilson"/>
    <s v="Jane Wilson"/>
    <s v="F"/>
    <d v="1950-12-12T00:00:00"/>
    <n v="75"/>
    <n v="9271131338"/>
    <s v="789 Pine Rd"/>
    <d v="2021-03-09T00:00:00"/>
    <x v="2"/>
    <s v="INS348710"/>
    <s v="jane.wilson@mail.com"/>
    <x v="0"/>
  </r>
  <r>
    <x v="163"/>
    <s v="P014"/>
    <x v="7"/>
    <x v="129"/>
    <d v="1899-12-30T17:15:00"/>
    <x v="0"/>
    <x v="2"/>
    <s v="Alex"/>
    <s v="Taylor"/>
    <s v="Alex Taylor"/>
    <s v="M"/>
    <d v="1968-02-27T00:00:00"/>
    <n v="58"/>
    <n v="7292262512"/>
    <s v="789 Pine Rd"/>
    <d v="2023-12-12T00:00:00"/>
    <x v="1"/>
    <s v="INS118070"/>
    <s v="alex.taylor@mail.com"/>
    <x v="0"/>
  </r>
  <r>
    <x v="164"/>
    <s v="P031"/>
    <x v="8"/>
    <x v="28"/>
    <d v="1899-12-30T15:30:00"/>
    <x v="1"/>
    <x v="2"/>
    <s v="Robert"/>
    <s v="Miller"/>
    <s v="Robert Miller"/>
    <s v="M"/>
    <d v="1987-01-14T00:00:00"/>
    <n v="39"/>
    <n v="8280346676"/>
    <s v="321 Maple Dr"/>
    <d v="2022-06-28T00:00:00"/>
    <x v="0"/>
    <s v="INS542905"/>
    <s v="robert.miller@mail.com"/>
    <x v="1"/>
  </r>
  <r>
    <x v="165"/>
    <s v="P005"/>
    <x v="5"/>
    <x v="130"/>
    <d v="1899-12-30T14:45:00"/>
    <x v="0"/>
    <x v="1"/>
    <s v="David"/>
    <s v="Wilson"/>
    <s v="David Wilson"/>
    <s v="M"/>
    <d v="1960-06-23T00:00:00"/>
    <n v="66"/>
    <n v="7734463155"/>
    <s v="123 Elm St"/>
    <d v="2021-09-29T00:00:00"/>
    <x v="1"/>
    <s v="INS788105"/>
    <s v="david.wilson@mail.com"/>
    <x v="0"/>
  </r>
  <r>
    <x v="166"/>
    <s v="P035"/>
    <x v="8"/>
    <x v="131"/>
    <d v="1899-12-30T08:15:00"/>
    <x v="4"/>
    <x v="0"/>
    <s v="David"/>
    <s v="Wilson"/>
    <s v="David Wilson"/>
    <s v="F"/>
    <d v="1993-04-13T00:00:00"/>
    <n v="33"/>
    <n v="7039619487"/>
    <s v="123 Elm St"/>
    <d v="2023-07-09T00:00:00"/>
    <x v="1"/>
    <s v="INS897079"/>
    <s v="david.wilson@mail.com"/>
    <x v="2"/>
  </r>
  <r>
    <x v="167"/>
    <s v="P023"/>
    <x v="1"/>
    <x v="132"/>
    <d v="1899-12-30T10:00:00"/>
    <x v="1"/>
    <x v="1"/>
    <s v="Linda"/>
    <s v="Johnson"/>
    <s v="Linda Johnson"/>
    <s v="M"/>
    <d v="1994-02-22T00:00:00"/>
    <n v="32"/>
    <n v="6141951830"/>
    <s v="789 Pine Rd"/>
    <d v="2021-12-27T00:00:00"/>
    <x v="0"/>
    <s v="INS730152"/>
    <s v="linda.johnson@mail.com"/>
    <x v="2"/>
  </r>
  <r>
    <x v="168"/>
    <s v="P029"/>
    <x v="7"/>
    <x v="133"/>
    <d v="1899-12-30T16:45:00"/>
    <x v="4"/>
    <x v="2"/>
    <s v="David"/>
    <s v="Smith"/>
    <s v="David Smith"/>
    <s v="M"/>
    <d v="2005-05-15T00:00:00"/>
    <n v="21"/>
    <n v="8923607677"/>
    <s v="789 Pine Rd"/>
    <d v="2023-04-19T00:00:00"/>
    <x v="3"/>
    <s v="INS630089"/>
    <s v="david.smith@mail.com"/>
    <x v="2"/>
  </r>
  <r>
    <x v="169"/>
    <s v="P043"/>
    <x v="9"/>
    <x v="134"/>
    <d v="1899-12-30T09:00:00"/>
    <x v="3"/>
    <x v="0"/>
    <s v="Linda"/>
    <s v="Brown"/>
    <s v="Linda Brown"/>
    <s v="M"/>
    <d v="1980-03-25T00:00:00"/>
    <n v="46"/>
    <n v="9127665406"/>
    <s v="789 Pine Rd"/>
    <d v="2022-07-18T00:00:00"/>
    <x v="0"/>
    <s v="INS882355"/>
    <s v="linda.brown@mail.com"/>
    <x v="1"/>
  </r>
  <r>
    <x v="170"/>
    <s v="P011"/>
    <x v="6"/>
    <x v="32"/>
    <d v="1899-12-30T16:30:00"/>
    <x v="4"/>
    <x v="2"/>
    <s v="Emily"/>
    <s v="Jones"/>
    <s v="Emily Jones"/>
    <s v="F"/>
    <d v="1966-12-04T00:00:00"/>
    <n v="59"/>
    <n v="8990604070"/>
    <s v="789 Pine Rd"/>
    <d v="2022-09-27T00:00:00"/>
    <x v="1"/>
    <s v="INS172991"/>
    <s v="emily.jones@mail.com"/>
    <x v="0"/>
  </r>
  <r>
    <x v="171"/>
    <s v="P018"/>
    <x v="2"/>
    <x v="54"/>
    <d v="1899-12-30T16:15:00"/>
    <x v="3"/>
    <x v="0"/>
    <s v="Laura"/>
    <s v="Wilson"/>
    <s v="Laura Wilson"/>
    <s v="M"/>
    <d v="1979-09-24T00:00:00"/>
    <n v="46"/>
    <n v="7145815738"/>
    <s v="789 Pine Rd"/>
    <d v="2022-09-23T00:00:00"/>
    <x v="2"/>
    <s v="INS635017"/>
    <s v="laura.wilson@mail.com"/>
    <x v="1"/>
  </r>
  <r>
    <x v="172"/>
    <s v="P047"/>
    <x v="9"/>
    <x v="135"/>
    <d v="1899-12-30T13:30:00"/>
    <x v="3"/>
    <x v="3"/>
    <s v="Jane"/>
    <s v="Moore"/>
    <s v="Jane Moore"/>
    <s v="M"/>
    <d v="1995-12-13T00:00:00"/>
    <n v="30"/>
    <n v="8715732851"/>
    <s v="321 Maple Dr"/>
    <d v="2022-05-20T00:00:00"/>
    <x v="0"/>
    <s v="INS337549"/>
    <s v="jane.moore@mail.com"/>
    <x v="2"/>
  </r>
  <r>
    <x v="173"/>
    <s v="P012"/>
    <x v="6"/>
    <x v="136"/>
    <d v="1899-12-30T11:15:00"/>
    <x v="4"/>
    <x v="2"/>
    <s v="Laura"/>
    <s v="Davis"/>
    <s v="Laura Davis"/>
    <s v="F"/>
    <d v="1991-12-08T00:00:00"/>
    <n v="34"/>
    <n v="8135666049"/>
    <s v="321 Maple Dr"/>
    <d v="2023-04-27T00:00:00"/>
    <x v="1"/>
    <s v="INS104014"/>
    <s v="laura.davis@mail.com"/>
    <x v="2"/>
  </r>
  <r>
    <x v="174"/>
    <s v="P009"/>
    <x v="3"/>
    <x v="137"/>
    <d v="1899-12-30T17:00:00"/>
    <x v="1"/>
    <x v="2"/>
    <s v="Laura"/>
    <s v="Davis"/>
    <s v="Laura Davis"/>
    <s v="M"/>
    <d v="1971-12-11T00:00:00"/>
    <n v="54"/>
    <n v="7060324619"/>
    <s v="321 Maple Dr"/>
    <d v="2022-09-18T00:00:00"/>
    <x v="2"/>
    <s v="INS136631"/>
    <s v="laura.davis@mail.com"/>
    <x v="1"/>
  </r>
  <r>
    <x v="175"/>
    <s v="P010"/>
    <x v="0"/>
    <x v="138"/>
    <d v="1899-12-30T09:30:00"/>
    <x v="0"/>
    <x v="1"/>
    <s v="Michael"/>
    <s v="Taylor"/>
    <s v="Michael Taylor"/>
    <s v="M"/>
    <d v="2001-10-13T00:00:00"/>
    <n v="24"/>
    <n v="7081396733"/>
    <s v="123 Elm St"/>
    <d v="2022-08-24T00:00:00"/>
    <x v="0"/>
    <s v="INS866577"/>
    <s v="michael.taylor@mail.com"/>
    <x v="2"/>
  </r>
  <r>
    <x v="176"/>
    <s v="P044"/>
    <x v="4"/>
    <x v="12"/>
    <d v="1899-12-30T12:30:00"/>
    <x v="0"/>
    <x v="2"/>
    <s v="Robert"/>
    <s v="Taylor"/>
    <s v="Robert Taylor"/>
    <s v="F"/>
    <d v="1976-03-11T00:00:00"/>
    <n v="50"/>
    <n v="9449458981"/>
    <s v="321 Maple Dr"/>
    <d v="2023-01-26T00:00:00"/>
    <x v="2"/>
    <s v="INS364512"/>
    <s v="robert.taylor@mail.com"/>
    <x v="1"/>
  </r>
  <r>
    <x v="177"/>
    <s v="P017"/>
    <x v="4"/>
    <x v="139"/>
    <d v="1899-12-30T13:15:00"/>
    <x v="3"/>
    <x v="2"/>
    <s v="Jane"/>
    <s v="Jones"/>
    <s v="Jane Jones"/>
    <s v="M"/>
    <d v="1991-05-01T00:00:00"/>
    <n v="35"/>
    <n v="6158428240"/>
    <s v="456 Oak Ave"/>
    <d v="2022-09-26T00:00:00"/>
    <x v="0"/>
    <s v="INS182074"/>
    <s v="jane.jones@mail.com"/>
    <x v="2"/>
  </r>
  <r>
    <x v="178"/>
    <s v="P038"/>
    <x v="2"/>
    <x v="140"/>
    <d v="1899-12-30T12:15:00"/>
    <x v="3"/>
    <x v="3"/>
    <s v="David"/>
    <s v="Smith"/>
    <s v="David Smith"/>
    <s v="M"/>
    <d v="1991-06-25T00:00:00"/>
    <n v="35"/>
    <n v="6347262390"/>
    <s v="789 Pine Rd"/>
    <d v="2021-04-19T00:00:00"/>
    <x v="1"/>
    <s v="INS580761"/>
    <s v="david.smith@mail.com"/>
    <x v="2"/>
  </r>
  <r>
    <x v="179"/>
    <s v="P007"/>
    <x v="7"/>
    <x v="141"/>
    <d v="1899-12-30T11:00:00"/>
    <x v="1"/>
    <x v="2"/>
    <s v="Alex"/>
    <s v="Johnson"/>
    <s v="Alex Johnson"/>
    <s v="F"/>
    <d v="1989-06-08T00:00:00"/>
    <n v="37"/>
    <n v="6278710077"/>
    <s v="789 Pine Rd"/>
    <d v="2021-12-25T00:00:00"/>
    <x v="1"/>
    <s v="INS465890"/>
    <s v="alex.johnson@mail.com"/>
    <x v="1"/>
  </r>
  <r>
    <x v="180"/>
    <s v="P046"/>
    <x v="1"/>
    <x v="142"/>
    <d v="1899-12-30T13:15:00"/>
    <x v="2"/>
    <x v="3"/>
    <s v="Michael"/>
    <s v="Taylor"/>
    <s v="Michael Taylor"/>
    <s v="F"/>
    <d v="1986-09-01T00:00:00"/>
    <n v="40"/>
    <n v="8019925828"/>
    <s v="456 Oak Ave"/>
    <d v="2021-07-31T00:00:00"/>
    <x v="1"/>
    <s v="INS368799"/>
    <s v="michael.taylor@mail.com"/>
    <x v="1"/>
  </r>
  <r>
    <x v="181"/>
    <s v="P013"/>
    <x v="7"/>
    <x v="143"/>
    <d v="1899-12-30T08:00:00"/>
    <x v="4"/>
    <x v="3"/>
    <s v="Laura"/>
    <s v="Johnson"/>
    <s v="Laura Johnson"/>
    <s v="F"/>
    <d v="1990-03-28T00:00:00"/>
    <n v="36"/>
    <n v="9059178882"/>
    <s v="321 Maple Dr"/>
    <d v="2021-12-23T00:00:00"/>
    <x v="0"/>
    <s v="INS373237"/>
    <s v="laura.johnson@mail.com"/>
    <x v="1"/>
  </r>
  <r>
    <x v="182"/>
    <s v="P040"/>
    <x v="1"/>
    <x v="144"/>
    <d v="1899-12-30T16:15:00"/>
    <x v="3"/>
    <x v="3"/>
    <s v="Emily"/>
    <s v="Williams"/>
    <s v="Emily Williams"/>
    <s v="M"/>
    <d v="1972-05-30T00:00:00"/>
    <n v="54"/>
    <n v="7587653815"/>
    <s v="456 Oak Ave"/>
    <d v="2021-10-16T00:00:00"/>
    <x v="2"/>
    <s v="INS320984"/>
    <s v="emily.williams@mail.com"/>
    <x v="1"/>
  </r>
  <r>
    <x v="183"/>
    <s v="P042"/>
    <x v="7"/>
    <x v="145"/>
    <d v="1899-12-30T17:45:00"/>
    <x v="0"/>
    <x v="3"/>
    <s v="Jane"/>
    <s v="Smith"/>
    <s v="Jane Smith"/>
    <s v="F"/>
    <d v="1954-08-22T00:00:00"/>
    <n v="72"/>
    <n v="7040069008"/>
    <s v="789 Pine Rd"/>
    <d v="2022-03-15T00:00:00"/>
    <x v="1"/>
    <s v="INS956748"/>
    <s v="jane.smith@mail.com"/>
    <x v="0"/>
  </r>
  <r>
    <x v="184"/>
    <s v="P009"/>
    <x v="0"/>
    <x v="39"/>
    <d v="1899-12-30T14:00:00"/>
    <x v="1"/>
    <x v="0"/>
    <s v="Laura"/>
    <s v="Davis"/>
    <s v="Laura Davis"/>
    <s v="M"/>
    <d v="1971-12-11T00:00:00"/>
    <n v="54"/>
    <n v="7060324619"/>
    <s v="321 Maple Dr"/>
    <d v="2022-09-18T00:00:00"/>
    <x v="2"/>
    <s v="INS136631"/>
    <s v="laura.davis@mail.com"/>
    <x v="1"/>
  </r>
  <r>
    <x v="185"/>
    <s v="P050"/>
    <x v="3"/>
    <x v="37"/>
    <d v="1899-12-30T17:15:00"/>
    <x v="4"/>
    <x v="1"/>
    <s v="Laura"/>
    <s v="Wilson"/>
    <s v="Laura Wilson"/>
    <s v="M"/>
    <d v="1993-12-27T00:00:00"/>
    <n v="32"/>
    <n v="8301134730"/>
    <s v="321 Maple Dr"/>
    <d v="2023-04-28T00:00:00"/>
    <x v="0"/>
    <s v="INS712210"/>
    <s v="laura.wilson@mail.com"/>
    <x v="2"/>
  </r>
  <r>
    <x v="186"/>
    <s v="P027"/>
    <x v="3"/>
    <x v="146"/>
    <d v="1899-12-30T12:30:00"/>
    <x v="1"/>
    <x v="0"/>
    <s v="Linda"/>
    <s v="Moore"/>
    <s v="Linda Moore"/>
    <s v="F"/>
    <d v="1998-06-29T00:00:00"/>
    <n v="28"/>
    <n v="8724518272"/>
    <s v="321 Maple Dr"/>
    <d v="2021-08-15T00:00:00"/>
    <x v="3"/>
    <s v="INS467654"/>
    <s v="linda.moore@mail.com"/>
    <x v="2"/>
  </r>
  <r>
    <x v="187"/>
    <s v="P002"/>
    <x v="6"/>
    <x v="143"/>
    <d v="1899-12-30T16:30:00"/>
    <x v="4"/>
    <x v="2"/>
    <s v="Emily"/>
    <s v="Smith"/>
    <s v="Emily Smith"/>
    <s v="F"/>
    <d v="1984-10-12T00:00:00"/>
    <n v="41"/>
    <n v="8228188767"/>
    <s v="321 Maple Dr"/>
    <d v="2022-01-15T00:00:00"/>
    <x v="2"/>
    <s v="INS354079"/>
    <s v="emily.smith@mail.com"/>
    <x v="1"/>
  </r>
  <r>
    <x v="188"/>
    <s v="P005"/>
    <x v="5"/>
    <x v="147"/>
    <d v="1899-12-30T13:30:00"/>
    <x v="4"/>
    <x v="0"/>
    <s v="David"/>
    <s v="Wilson"/>
    <s v="David Wilson"/>
    <s v="M"/>
    <d v="1960-06-23T00:00:00"/>
    <n v="66"/>
    <n v="7734463155"/>
    <s v="123 Elm St"/>
    <d v="2021-09-29T00:00:00"/>
    <x v="1"/>
    <s v="INS788105"/>
    <s v="david.wilson@mail.com"/>
    <x v="0"/>
  </r>
  <r>
    <x v="189"/>
    <s v="P029"/>
    <x v="3"/>
    <x v="148"/>
    <d v="1899-12-30T15:15:00"/>
    <x v="3"/>
    <x v="0"/>
    <s v="David"/>
    <s v="Smith"/>
    <s v="David Smith"/>
    <s v="M"/>
    <d v="2005-05-15T00:00:00"/>
    <n v="21"/>
    <n v="8923607677"/>
    <s v="789 Pine Rd"/>
    <d v="2023-04-19T00:00:00"/>
    <x v="3"/>
    <s v="INS630089"/>
    <s v="david.smith@mail.com"/>
    <x v="2"/>
  </r>
  <r>
    <x v="190"/>
    <s v="P037"/>
    <x v="3"/>
    <x v="143"/>
    <d v="1899-12-30T16:00:00"/>
    <x v="1"/>
    <x v="2"/>
    <s v="Robert"/>
    <s v="Williams"/>
    <s v="Robert Williams"/>
    <s v="M"/>
    <d v="1999-02-05T00:00:00"/>
    <n v="27"/>
    <n v="8886800195"/>
    <s v="456 Oak Ave"/>
    <d v="2021-09-30T00:00:00"/>
    <x v="3"/>
    <s v="INS319963"/>
    <s v="robert.williams@mail.com"/>
    <x v="2"/>
  </r>
  <r>
    <x v="191"/>
    <s v="P038"/>
    <x v="9"/>
    <x v="149"/>
    <d v="1899-12-30T14:15:00"/>
    <x v="1"/>
    <x v="2"/>
    <s v="David"/>
    <s v="Smith"/>
    <s v="David Smith"/>
    <s v="M"/>
    <d v="1991-06-25T00:00:00"/>
    <n v="35"/>
    <n v="6347262390"/>
    <s v="789 Pine Rd"/>
    <d v="2021-04-19T00:00:00"/>
    <x v="1"/>
    <s v="INS580761"/>
    <s v="david.smith@mail.com"/>
    <x v="2"/>
  </r>
  <r>
    <x v="192"/>
    <s v="P019"/>
    <x v="9"/>
    <x v="150"/>
    <d v="1899-12-30T08:15:00"/>
    <x v="0"/>
    <x v="2"/>
    <s v="Sarah"/>
    <s v="Miller"/>
    <s v="Sarah Miller"/>
    <s v="M"/>
    <d v="1975-05-24T00:00:00"/>
    <n v="51"/>
    <n v="8618058864"/>
    <s v="789 Pine Rd"/>
    <d v="2023-06-24T00:00:00"/>
    <x v="0"/>
    <s v="INS855073"/>
    <s v="sarah.miller@mail.com"/>
    <x v="1"/>
  </r>
  <r>
    <x v="193"/>
    <s v="P008"/>
    <x v="6"/>
    <x v="151"/>
    <d v="1899-12-30T12:45:00"/>
    <x v="0"/>
    <x v="0"/>
    <s v="David"/>
    <s v="Davis"/>
    <s v="David Davis"/>
    <s v="F"/>
    <d v="1976-07-05T00:00:00"/>
    <n v="50"/>
    <n v="7090558393"/>
    <s v="456 Oak Ave"/>
    <d v="2021-05-25T00:00:00"/>
    <x v="0"/>
    <s v="INS545101"/>
    <s v="david.davis@mail.com"/>
    <x v="1"/>
  </r>
  <r>
    <x v="194"/>
    <s v="P048"/>
    <x v="5"/>
    <x v="152"/>
    <d v="1899-12-30T17:15:00"/>
    <x v="3"/>
    <x v="0"/>
    <s v="Emily"/>
    <s v="Miller"/>
    <s v="Emily Miller"/>
    <s v="M"/>
    <d v="1983-03-24T00:00:00"/>
    <n v="43"/>
    <n v="8720989381"/>
    <s v="123 Elm St"/>
    <d v="2023-06-19T00:00:00"/>
    <x v="2"/>
    <s v="INS694319"/>
    <s v="emily.miller@mail.com"/>
    <x v="1"/>
  </r>
  <r>
    <x v="195"/>
    <s v="P045"/>
    <x v="2"/>
    <x v="153"/>
    <d v="1899-12-30T09:45:00"/>
    <x v="3"/>
    <x v="2"/>
    <s v="Linda"/>
    <s v="Miller"/>
    <s v="Linda Miller"/>
    <s v="F"/>
    <d v="1966-04-25T00:00:00"/>
    <n v="60"/>
    <n v="7579616535"/>
    <s v="321 Maple Dr"/>
    <d v="2021-01-23T00:00:00"/>
    <x v="1"/>
    <s v="INS701863"/>
    <s v="linda.miller@mail.com"/>
    <x v="0"/>
  </r>
  <r>
    <x v="196"/>
    <s v="P001"/>
    <x v="9"/>
    <x v="154"/>
    <d v="1899-12-30T13:30:00"/>
    <x v="2"/>
    <x v="1"/>
    <s v="David"/>
    <s v="Williams"/>
    <s v="David Williams"/>
    <s v="F"/>
    <d v="1955-06-04T00:00:00"/>
    <n v="71"/>
    <n v="6939585183"/>
    <s v="789 Pine Rd"/>
    <d v="2022-06-23T00:00:00"/>
    <x v="0"/>
    <s v="INS840674"/>
    <s v="david.williams@mail.com"/>
    <x v="0"/>
  </r>
  <r>
    <x v="197"/>
    <s v="P022"/>
    <x v="2"/>
    <x v="155"/>
    <d v="1899-12-30T08:30:00"/>
    <x v="0"/>
    <x v="1"/>
    <s v="John"/>
    <s v="Brown"/>
    <s v="John Brown"/>
    <s v="M"/>
    <d v="1955-05-10T00:00:00"/>
    <n v="71"/>
    <n v="6221099573"/>
    <s v="321 Maple Dr"/>
    <d v="2021-05-11T00:00:00"/>
    <x v="1"/>
    <s v="INS258823"/>
    <s v="john.brown@mail.com"/>
    <x v="0"/>
  </r>
  <r>
    <x v="198"/>
    <s v="P017"/>
    <x v="8"/>
    <x v="156"/>
    <d v="1899-12-30T12:45:00"/>
    <x v="4"/>
    <x v="3"/>
    <s v="Jane"/>
    <s v="Jones"/>
    <s v="Jane Jones"/>
    <s v="M"/>
    <d v="1991-05-01T00:00:00"/>
    <n v="35"/>
    <n v="6158428240"/>
    <s v="456 Oak Ave"/>
    <d v="2022-09-26T00:00:00"/>
    <x v="0"/>
    <s v="INS182074"/>
    <s v="jane.jones@mail.com"/>
    <x v="2"/>
  </r>
  <r>
    <x v="199"/>
    <s v="P007"/>
    <x v="9"/>
    <x v="157"/>
    <d v="1899-12-30T10:15:00"/>
    <x v="1"/>
    <x v="2"/>
    <s v="Alex"/>
    <s v="Johnson"/>
    <s v="Alex Johnson"/>
    <s v="F"/>
    <d v="1989-06-08T00:00:00"/>
    <n v="37"/>
    <n v="6278710077"/>
    <s v="789 Pine Rd"/>
    <d v="2021-12-25T00:00:00"/>
    <x v="1"/>
    <s v="INS465890"/>
    <s v="alex.johnson@mail.co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BF47E-BD8A-4D20-91D2-7AC97CE9B5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items count="6">
        <item x="3"/>
        <item x="1"/>
        <item x="2"/>
        <item x="4"/>
        <item x="0"/>
        <item t="default"/>
      </items>
    </pivotField>
    <pivotField axis="axisRow"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defaultSubtotal="0"/>
    <pivotField showAll="0" defaultSubtotal="0">
      <items count="14">
        <item h="1" x="0"/>
        <item x="1"/>
        <item x="2"/>
        <item x="3"/>
        <item x="4"/>
        <item x="5"/>
        <item x="6"/>
        <item x="7"/>
        <item x="8"/>
        <item x="9"/>
        <item h="1" x="10"/>
        <item h="1" x="11"/>
        <item h="1" x="12"/>
        <item h="1" x="13"/>
      </items>
    </pivotField>
  </pivotFields>
  <rowFields count="1">
    <field x="6"/>
  </rowFields>
  <rowItems count="5">
    <i>
      <x/>
    </i>
    <i>
      <x v="1"/>
    </i>
    <i>
      <x v="2"/>
    </i>
    <i>
      <x v="3"/>
    </i>
    <i t="grand">
      <x/>
    </i>
  </rowItems>
  <colItems count="1">
    <i/>
  </colItems>
  <dataFields count="1">
    <dataField name="Count of appointm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A45C95-7324-4946-91D8-EC870EAC41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2">
    <pivotField showAll="0"/>
    <pivotField showAll="0"/>
    <pivotField axis="axisRow" showAll="0">
      <items count="11">
        <item x="8"/>
        <item x="6"/>
        <item x="3"/>
        <item x="1"/>
        <item x="9"/>
        <item x="2"/>
        <item x="4"/>
        <item x="7"/>
        <item x="0"/>
        <item x="5"/>
        <item t="default"/>
      </items>
    </pivotField>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dataField="1"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Count of status" fld="6" subtotal="count"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2503B-F151-4DF3-899F-4AF15488AA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A4" firstHeaderRow="1" firstDataRow="1" firstDataCol="0"/>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appoint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D0DB86-DEC3-4F9D-9890-A9EF07ACFBE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1:C32" firstHeaderRow="1" firstDataRow="1" firstDataCol="1"/>
  <pivotFields count="22">
    <pivotField dataField="1" showAll="0"/>
    <pivotField showAll="0"/>
    <pivotField axis="axisRow" showAll="0">
      <items count="11">
        <item x="8"/>
        <item x="6"/>
        <item x="3"/>
        <item x="1"/>
        <item x="9"/>
        <item x="2"/>
        <item x="4"/>
        <item x="7"/>
        <item x="0"/>
        <item x="5"/>
        <item t="default"/>
      </items>
    </pivotField>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F5931C-047C-4354-85E2-F7BB66E695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3:C19"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axis="axisRow" showAll="0">
      <items count="6">
        <item x="3"/>
        <item x="1"/>
        <item x="2"/>
        <item x="4"/>
        <item x="0"/>
        <item t="default"/>
      </items>
    </pivotField>
    <pivotField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08AF6E-100D-4057-922D-8959B4F702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6:C11"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axis="axisRow"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Count of appointment_id" fld="0" subtotal="count" baseField="0" baseItem="0"/>
  </dataFields>
  <chartFormats count="10">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871F69-9CD2-4B40-AC35-CF8F38E262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B4" firstHeaderRow="1" firstDataRow="1" firstDataCol="0"/>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AAA07E-5641-4DED-A7FE-A61A95FE37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1:C56" firstHeaderRow="1" firstDataRow="1" firstDataCol="1"/>
  <pivotFields count="22">
    <pivotField showAll="0"/>
    <pivotField dataField="1"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axis="axisRow" showAll="0">
      <items count="5">
        <item x="3"/>
        <item x="1"/>
        <item x="2"/>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5">
    <i>
      <x/>
    </i>
    <i>
      <x v="1"/>
    </i>
    <i>
      <x v="2"/>
    </i>
    <i>
      <x v="3"/>
    </i>
    <i t="grand">
      <x/>
    </i>
  </rowItems>
  <colItems count="1">
    <i/>
  </colItems>
  <dataFields count="1">
    <dataField name="Count of patient_id" fld="1" subtotal="count"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6" count="1" selected="0">
            <x v="0"/>
          </reference>
        </references>
      </pivotArea>
    </chartFormat>
    <chartFormat chart="1" format="3">
      <pivotArea type="data" outline="0" fieldPosition="0">
        <references count="2">
          <reference field="4294967294" count="1" selected="0">
            <x v="0"/>
          </reference>
          <reference field="16" count="1" selected="0">
            <x v="1"/>
          </reference>
        </references>
      </pivotArea>
    </chartFormat>
    <chartFormat chart="1" format="4">
      <pivotArea type="data" outline="0" fieldPosition="0">
        <references count="2">
          <reference field="4294967294" count="1" selected="0">
            <x v="0"/>
          </reference>
          <reference field="16" count="1" selected="0">
            <x v="2"/>
          </reference>
        </references>
      </pivotArea>
    </chartFormat>
    <chartFormat chart="1" format="5">
      <pivotArea type="data" outline="0" fieldPosition="0">
        <references count="2">
          <reference field="4294967294" count="1" selected="0">
            <x v="0"/>
          </reference>
          <reference field="16"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 chart="2" format="9">
      <pivotArea type="data" outline="0" fieldPosition="0">
        <references count="2">
          <reference field="4294967294" count="1" selected="0">
            <x v="0"/>
          </reference>
          <reference field="16" count="1" selected="0">
            <x v="2"/>
          </reference>
        </references>
      </pivotArea>
    </chartFormat>
    <chartFormat chart="2" format="10">
      <pivotArea type="data" outline="0" fieldPosition="0">
        <references count="2">
          <reference field="4294967294" count="1" selected="0">
            <x v="0"/>
          </reference>
          <reference field="1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14AFC9-AAB7-4EBB-AAAB-25B6DDD348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4:C47" firstHeaderRow="1" firstDataRow="1" firstDataCol="1"/>
  <pivotFields count="22">
    <pivotField dataField="1" showAll="0"/>
    <pivotField showAll="0"/>
    <pivotField showAll="0"/>
    <pivotField axis="axisRow"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1"/>
    <field x="3"/>
  </rowFields>
  <rowItems count="13">
    <i>
      <x v="1"/>
    </i>
    <i>
      <x v="2"/>
    </i>
    <i>
      <x v="3"/>
    </i>
    <i>
      <x v="4"/>
    </i>
    <i>
      <x v="5"/>
    </i>
    <i>
      <x v="6"/>
    </i>
    <i>
      <x v="7"/>
    </i>
    <i>
      <x v="8"/>
    </i>
    <i>
      <x v="9"/>
    </i>
    <i>
      <x v="10"/>
    </i>
    <i>
      <x v="11"/>
    </i>
    <i>
      <x v="12"/>
    </i>
    <i t="grand">
      <x/>
    </i>
  </rowItems>
  <colItems count="1">
    <i/>
  </colItems>
  <dataFields count="1">
    <dataField name="Count of appointm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3346FC-92C2-4825-B5E0-509BA488F4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axis="axisRow"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h="1" x="10"/>
        <item h="1" x="11"/>
        <item h="1" x="12"/>
        <item h="1" x="13"/>
        <item t="default"/>
      </items>
    </pivotField>
  </pivotFields>
  <rowFields count="1">
    <field x="6"/>
  </rowFields>
  <rowItems count="5">
    <i>
      <x/>
    </i>
    <i>
      <x v="1"/>
    </i>
    <i>
      <x v="2"/>
    </i>
    <i>
      <x v="3"/>
    </i>
    <i t="grand">
      <x/>
    </i>
  </rowItems>
  <colItems count="1">
    <i/>
  </colItems>
  <dataFields count="1">
    <dataField name="Count of appointment_id" fld="0" subtotal="count" baseField="0" baseItem="0"/>
  </dataFields>
  <chartFormats count="20">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0"/>
          </reference>
        </references>
      </pivotArea>
    </chartFormat>
    <chartFormat chart="5" format="8">
      <pivotArea type="data" outline="0" fieldPosition="0">
        <references count="2">
          <reference field="4294967294" count="1" selected="0">
            <x v="0"/>
          </reference>
          <reference field="6" count="1" selected="0">
            <x v="1"/>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 chart="5" format="10">
      <pivotArea type="data" outline="0" fieldPosition="0">
        <references count="2">
          <reference field="4294967294" count="1" selected="0">
            <x v="0"/>
          </reference>
          <reference field="6" count="1" selected="0">
            <x v="3"/>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6" count="1" selected="0">
            <x v="0"/>
          </reference>
        </references>
      </pivotArea>
    </chartFormat>
    <chartFormat chart="9" format="18">
      <pivotArea type="data" outline="0" fieldPosition="0">
        <references count="2">
          <reference field="4294967294" count="1" selected="0">
            <x v="0"/>
          </reference>
          <reference field="6" count="1" selected="0">
            <x v="1"/>
          </reference>
        </references>
      </pivotArea>
    </chartFormat>
    <chartFormat chart="9" format="19">
      <pivotArea type="data" outline="0" fieldPosition="0">
        <references count="2">
          <reference field="4294967294" count="1" selected="0">
            <x v="0"/>
          </reference>
          <reference field="6" count="1" selected="0">
            <x v="2"/>
          </reference>
        </references>
      </pivotArea>
    </chartFormat>
    <chartFormat chart="9" format="20">
      <pivotArea type="data" outline="0" fieldPosition="0">
        <references count="2">
          <reference field="4294967294" count="1" selected="0">
            <x v="0"/>
          </reference>
          <reference field="6" count="1" selected="0">
            <x v="3"/>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6" count="1" selected="0">
            <x v="0"/>
          </reference>
        </references>
      </pivotArea>
    </chartFormat>
    <chartFormat chart="12" format="28">
      <pivotArea type="data" outline="0" fieldPosition="0">
        <references count="2">
          <reference field="4294967294" count="1" selected="0">
            <x v="0"/>
          </reference>
          <reference field="6" count="1" selected="0">
            <x v="1"/>
          </reference>
        </references>
      </pivotArea>
    </chartFormat>
    <chartFormat chart="12" format="29">
      <pivotArea type="data" outline="0" fieldPosition="0">
        <references count="2">
          <reference field="4294967294" count="1" selected="0">
            <x v="0"/>
          </reference>
          <reference field="6" count="1" selected="0">
            <x v="2"/>
          </reference>
        </references>
      </pivotArea>
    </chartFormat>
    <chartFormat chart="12" format="3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2C4BA8-6022-45D1-B746-7A2B339474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axis="axisRow" showAll="0">
      <items count="6">
        <item x="3"/>
        <item x="1"/>
        <item x="2"/>
        <item x="4"/>
        <item x="0"/>
        <item t="default"/>
      </items>
    </pivotField>
    <pivotField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h="1" x="10"/>
        <item h="1" x="11"/>
        <item h="1" x="12"/>
        <item h="1" x="13"/>
        <item t="default"/>
      </items>
    </pivotField>
  </pivotFields>
  <rowFields count="1">
    <field x="5"/>
  </rowFields>
  <rowItems count="6">
    <i>
      <x/>
    </i>
    <i>
      <x v="1"/>
    </i>
    <i>
      <x v="2"/>
    </i>
    <i>
      <x v="3"/>
    </i>
    <i>
      <x v="4"/>
    </i>
    <i t="grand">
      <x/>
    </i>
  </rowItems>
  <colItems count="1">
    <i/>
  </colItems>
  <dataFields count="1">
    <dataField name="Count of appoint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81A8BC-DFDC-4596-9355-F20CDC2E1D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2">
    <pivotField dataField="1" showAll="0"/>
    <pivotField showAll="0"/>
    <pivotField axis="axisRow" showAll="0">
      <items count="11">
        <item x="8"/>
        <item x="6"/>
        <item x="3"/>
        <item x="1"/>
        <item x="9"/>
        <item x="2"/>
        <item x="4"/>
        <item x="7"/>
        <item x="0"/>
        <item x="5"/>
        <item t="default"/>
      </items>
    </pivotField>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x="2"/>
        <item x="3"/>
        <item x="4"/>
        <item x="5"/>
        <item x="6"/>
        <item x="7"/>
        <item x="8"/>
        <item x="9"/>
        <item h="1" x="10"/>
        <item h="1" x="11"/>
        <item h="1" x="12"/>
        <item h="1" x="13"/>
        <item t="default"/>
      </items>
    </pivotField>
  </pivotFields>
  <rowFields count="1">
    <field x="2"/>
  </rowFields>
  <rowItems count="11">
    <i>
      <x/>
    </i>
    <i>
      <x v="1"/>
    </i>
    <i>
      <x v="2"/>
    </i>
    <i>
      <x v="3"/>
    </i>
    <i>
      <x v="4"/>
    </i>
    <i>
      <x v="5"/>
    </i>
    <i>
      <x v="6"/>
    </i>
    <i>
      <x v="7"/>
    </i>
    <i>
      <x v="8"/>
    </i>
    <i>
      <x v="9"/>
    </i>
    <i t="grand">
      <x/>
    </i>
  </rowItems>
  <colItems count="1">
    <i/>
  </colItems>
  <dataFields count="1">
    <dataField name="Count of appoint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2882EC-E2E6-4DA2-9E6E-F542292DA6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22">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items count="11">
        <item x="8"/>
        <item x="6"/>
        <item x="3"/>
        <item x="1"/>
        <item x="9"/>
        <item x="2"/>
        <item x="4"/>
        <item x="7"/>
        <item x="0"/>
        <item x="5"/>
        <item t="default"/>
      </items>
    </pivotField>
    <pivotField axis="axisRow"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items count="6">
        <item x="3"/>
        <item x="1"/>
        <item x="2"/>
        <item x="4"/>
        <item x="0"/>
        <item t="default"/>
      </items>
    </pivotField>
    <pivotField showAll="0">
      <items count="5">
        <item x="2"/>
        <item x="3"/>
        <item x="1"/>
        <item x="0"/>
        <item t="default"/>
      </items>
    </pivotField>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h="1" sd="0" x="10"/>
        <item h="1" sd="0" x="11"/>
        <item h="1" sd="0" x="12"/>
        <item h="1" sd="0" x="13"/>
        <item t="default"/>
      </items>
    </pivotField>
  </pivotFields>
  <rowFields count="2">
    <field x="21"/>
    <field x="3"/>
  </rowFields>
  <rowItems count="10">
    <i>
      <x v="1"/>
    </i>
    <i>
      <x v="2"/>
    </i>
    <i>
      <x v="3"/>
    </i>
    <i>
      <x v="4"/>
    </i>
    <i>
      <x v="5"/>
    </i>
    <i>
      <x v="6"/>
    </i>
    <i>
      <x v="7"/>
    </i>
    <i>
      <x v="8"/>
    </i>
    <i>
      <x v="9"/>
    </i>
    <i t="grand">
      <x/>
    </i>
  </rowItems>
  <colItems count="1">
    <i/>
  </colItems>
  <dataFields count="1">
    <dataField name="Count of appoint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E65EB5-3019-4AC2-ADEE-4D1871A071A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2">
    <pivotField dataField="1" showAll="0"/>
    <pivotField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pivotField showAll="0"/>
    <pivotField showAll="0"/>
    <pivotField showAll="0"/>
    <pivotField numFmtId="14" showAll="0"/>
    <pivotField numFmtId="49" showAll="0"/>
    <pivotField showAll="0"/>
    <pivotField showAll="0"/>
    <pivotField numFmtId="14" showAll="0"/>
    <pivotField showAll="0"/>
    <pivotField showAll="0"/>
    <pivotField showAll="0"/>
    <pivotField axis="axisRow" showAll="0">
      <items count="4">
        <item x="1"/>
        <item x="0"/>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4">
    <i>
      <x/>
    </i>
    <i>
      <x v="1"/>
    </i>
    <i>
      <x v="2"/>
    </i>
    <i t="grand">
      <x/>
    </i>
  </rowItems>
  <colItems count="1">
    <i/>
  </colItems>
  <dataFields count="1">
    <dataField name="Count of appointmen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30EE7B-D6E3-4248-B96C-55A1797444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2">
    <pivotField showAll="0"/>
    <pivotField dataField="1" showAll="0"/>
    <pivotField showAll="0"/>
    <pivotField numFmtId="14" showAll="0">
      <items count="159">
        <item x="38"/>
        <item x="52"/>
        <item x="124"/>
        <item x="118"/>
        <item x="73"/>
        <item x="141"/>
        <item x="33"/>
        <item x="95"/>
        <item x="130"/>
        <item x="9"/>
        <item x="14"/>
        <item x="45"/>
        <item x="139"/>
        <item x="74"/>
        <item x="89"/>
        <item x="63"/>
        <item x="120"/>
        <item x="81"/>
        <item x="144"/>
        <item x="47"/>
        <item x="114"/>
        <item x="18"/>
        <item x="49"/>
        <item x="146"/>
        <item x="78"/>
        <item x="76"/>
        <item x="35"/>
        <item x="23"/>
        <item x="145"/>
        <item x="102"/>
        <item x="86"/>
        <item x="134"/>
        <item x="8"/>
        <item x="123"/>
        <item x="140"/>
        <item x="54"/>
        <item x="61"/>
        <item x="103"/>
        <item x="24"/>
        <item x="39"/>
        <item x="109"/>
        <item x="37"/>
        <item x="34"/>
        <item x="40"/>
        <item x="154"/>
        <item x="28"/>
        <item x="151"/>
        <item x="101"/>
        <item x="82"/>
        <item x="6"/>
        <item x="143"/>
        <item x="121"/>
        <item x="53"/>
        <item x="36"/>
        <item x="32"/>
        <item x="91"/>
        <item x="20"/>
        <item x="138"/>
        <item x="46"/>
        <item x="156"/>
        <item x="44"/>
        <item x="84"/>
        <item x="11"/>
        <item x="67"/>
        <item x="21"/>
        <item x="59"/>
        <item x="107"/>
        <item x="125"/>
        <item x="112"/>
        <item x="155"/>
        <item x="94"/>
        <item x="7"/>
        <item x="13"/>
        <item x="58"/>
        <item x="79"/>
        <item x="135"/>
        <item x="1"/>
        <item x="80"/>
        <item x="64"/>
        <item x="31"/>
        <item x="56"/>
        <item x="115"/>
        <item x="127"/>
        <item x="5"/>
        <item x="98"/>
        <item x="22"/>
        <item x="26"/>
        <item x="72"/>
        <item x="128"/>
        <item x="2"/>
        <item x="57"/>
        <item x="15"/>
        <item x="85"/>
        <item x="4"/>
        <item x="83"/>
        <item x="122"/>
        <item x="16"/>
        <item x="48"/>
        <item x="93"/>
        <item x="66"/>
        <item x="133"/>
        <item x="108"/>
        <item x="129"/>
        <item x="92"/>
        <item x="97"/>
        <item x="0"/>
        <item x="60"/>
        <item x="90"/>
        <item x="12"/>
        <item x="152"/>
        <item x="106"/>
        <item x="62"/>
        <item x="27"/>
        <item x="149"/>
        <item x="3"/>
        <item x="142"/>
        <item x="111"/>
        <item x="150"/>
        <item x="70"/>
        <item x="41"/>
        <item x="87"/>
        <item x="30"/>
        <item x="42"/>
        <item x="132"/>
        <item x="147"/>
        <item x="51"/>
        <item x="113"/>
        <item x="110"/>
        <item x="77"/>
        <item x="137"/>
        <item x="88"/>
        <item x="153"/>
        <item x="25"/>
        <item x="136"/>
        <item x="116"/>
        <item x="104"/>
        <item x="29"/>
        <item x="75"/>
        <item x="117"/>
        <item x="10"/>
        <item x="105"/>
        <item x="17"/>
        <item x="131"/>
        <item x="148"/>
        <item x="55"/>
        <item x="96"/>
        <item x="68"/>
        <item x="19"/>
        <item x="119"/>
        <item x="100"/>
        <item x="69"/>
        <item x="50"/>
        <item x="126"/>
        <item x="99"/>
        <item x="43"/>
        <item x="65"/>
        <item x="71"/>
        <item x="157"/>
        <item t="default"/>
      </items>
    </pivotField>
    <pivotField numFmtId="21" showAll="0"/>
    <pivotField showAll="0"/>
    <pivotField showAll="0"/>
    <pivotField showAll="0"/>
    <pivotField showAll="0"/>
    <pivotField showAll="0"/>
    <pivotField showAll="0"/>
    <pivotField numFmtId="14" showAll="0"/>
    <pivotField numFmtId="49" showAll="0"/>
    <pivotField showAll="0"/>
    <pivotField showAll="0"/>
    <pivotField numFmtId="14" showAll="0"/>
    <pivotField axis="axisRow" showAll="0">
      <items count="5">
        <item x="3"/>
        <item x="1"/>
        <item x="2"/>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6"/>
  </rowFields>
  <rowItems count="5">
    <i>
      <x/>
    </i>
    <i>
      <x v="1"/>
    </i>
    <i>
      <x v="2"/>
    </i>
    <i>
      <x v="3"/>
    </i>
    <i t="grand">
      <x/>
    </i>
  </rowItems>
  <colItems count="1">
    <i/>
  </colItems>
  <dataFields count="1">
    <dataField name="Count of patient_id" fld="1" subtotal="count" showDataAs="percentOfTotal" baseField="0" baseItem="0" numFmtId="10"/>
  </dataFields>
  <chartFormats count="3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6" count="1" selected="0">
            <x v="0"/>
          </reference>
        </references>
      </pivotArea>
    </chartFormat>
    <chartFormat chart="1" format="3">
      <pivotArea type="data" outline="0" fieldPosition="0">
        <references count="2">
          <reference field="4294967294" count="1" selected="0">
            <x v="0"/>
          </reference>
          <reference field="16" count="1" selected="0">
            <x v="1"/>
          </reference>
        </references>
      </pivotArea>
    </chartFormat>
    <chartFormat chart="1" format="4">
      <pivotArea type="data" outline="0" fieldPosition="0">
        <references count="2">
          <reference field="4294967294" count="1" selected="0">
            <x v="0"/>
          </reference>
          <reference field="16" count="1" selected="0">
            <x v="2"/>
          </reference>
        </references>
      </pivotArea>
    </chartFormat>
    <chartFormat chart="1" format="5">
      <pivotArea type="data" outline="0" fieldPosition="0">
        <references count="2">
          <reference field="4294967294" count="1" selected="0">
            <x v="0"/>
          </reference>
          <reference field="16"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6" count="1" selected="0">
            <x v="0"/>
          </reference>
        </references>
      </pivotArea>
    </chartFormat>
    <chartFormat chart="2" format="8">
      <pivotArea type="data" outline="0" fieldPosition="0">
        <references count="2">
          <reference field="4294967294" count="1" selected="0">
            <x v="0"/>
          </reference>
          <reference field="16" count="1" selected="0">
            <x v="1"/>
          </reference>
        </references>
      </pivotArea>
    </chartFormat>
    <chartFormat chart="2" format="9">
      <pivotArea type="data" outline="0" fieldPosition="0">
        <references count="2">
          <reference field="4294967294" count="1" selected="0">
            <x v="0"/>
          </reference>
          <reference field="16" count="1" selected="0">
            <x v="2"/>
          </reference>
        </references>
      </pivotArea>
    </chartFormat>
    <chartFormat chart="2" format="10">
      <pivotArea type="data" outline="0" fieldPosition="0">
        <references count="2">
          <reference field="4294967294" count="1" selected="0">
            <x v="0"/>
          </reference>
          <reference field="16"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6" count="1" selected="0">
            <x v="0"/>
          </reference>
        </references>
      </pivotArea>
    </chartFormat>
    <chartFormat chart="7" format="18">
      <pivotArea type="data" outline="0" fieldPosition="0">
        <references count="2">
          <reference field="4294967294" count="1" selected="0">
            <x v="0"/>
          </reference>
          <reference field="16" count="1" selected="0">
            <x v="1"/>
          </reference>
        </references>
      </pivotArea>
    </chartFormat>
    <chartFormat chart="7" format="19">
      <pivotArea type="data" outline="0" fieldPosition="0">
        <references count="2">
          <reference field="4294967294" count="1" selected="0">
            <x v="0"/>
          </reference>
          <reference field="16" count="1" selected="0">
            <x v="2"/>
          </reference>
        </references>
      </pivotArea>
    </chartFormat>
    <chartFormat chart="7" format="20">
      <pivotArea type="data" outline="0" fieldPosition="0">
        <references count="2">
          <reference field="4294967294" count="1" selected="0">
            <x v="0"/>
          </reference>
          <reference field="16" count="1" selected="0">
            <x v="3"/>
          </reference>
        </references>
      </pivotArea>
    </chartFormat>
    <chartFormat chart="10" format="26" series="1">
      <pivotArea type="data" outline="0" fieldPosition="0">
        <references count="1">
          <reference field="4294967294" count="1" selected="0">
            <x v="0"/>
          </reference>
        </references>
      </pivotArea>
    </chartFormat>
    <chartFormat chart="10" format="27">
      <pivotArea type="data" outline="0" fieldPosition="0">
        <references count="2">
          <reference field="4294967294" count="1" selected="0">
            <x v="0"/>
          </reference>
          <reference field="16" count="1" selected="0">
            <x v="0"/>
          </reference>
        </references>
      </pivotArea>
    </chartFormat>
    <chartFormat chart="10" format="28">
      <pivotArea type="data" outline="0" fieldPosition="0">
        <references count="2">
          <reference field="4294967294" count="1" selected="0">
            <x v="0"/>
          </reference>
          <reference field="16" count="1" selected="0">
            <x v="1"/>
          </reference>
        </references>
      </pivotArea>
    </chartFormat>
    <chartFormat chart="10" format="29">
      <pivotArea type="data" outline="0" fieldPosition="0">
        <references count="2">
          <reference field="4294967294" count="1" selected="0">
            <x v="0"/>
          </reference>
          <reference field="16" count="1" selected="0">
            <x v="2"/>
          </reference>
        </references>
      </pivotArea>
    </chartFormat>
    <chartFormat chart="10" format="3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id" xr10:uid="{760577AE-5BCA-41E2-AF3C-37251D1F87A0}" sourceName="doctor_id">
  <pivotTables>
    <pivotTable tabId="10" name="PivotTable5"/>
  </pivotTables>
  <data>
    <tabular pivotCacheId="1504799847">
      <items count="10">
        <i x="8" s="1"/>
        <i x="6" s="1"/>
        <i x="3" s="1"/>
        <i x="1" s="1"/>
        <i x="9" s="1"/>
        <i x="2" s="1"/>
        <i x="4" s="1"/>
        <i x="7"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visit" xr10:uid="{93337AE3-B4C5-480E-A206-32A1F2715B9B}" sourceName="reason_for_visit">
  <pivotTables>
    <pivotTable tabId="10" name="PivotTable5"/>
    <pivotTable tabId="20" name="PivotTable1"/>
  </pivotTables>
  <data>
    <tabular pivotCacheId="1504799847">
      <items count="5">
        <i x="3"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appointment_date" xr10:uid="{97532945-52C7-45FB-83A8-D092AE30B050}" sourceName="Months (appointment_date)">
  <pivotTables>
    <pivotTable tabId="7" name="PivotTable2"/>
    <pivotTable tabId="8" name="PivotTable3"/>
    <pivotTable tabId="10" name="PivotTable5"/>
    <pivotTable tabId="20" name="PivotTable1"/>
    <pivotTable tabId="9" name="PivotTable4"/>
  </pivotTables>
  <data>
    <tabular pivotCacheId="1504799847">
      <items count="14">
        <i x="1" s="1"/>
        <i x="2" s="1"/>
        <i x="3" s="1"/>
        <i x="4" s="1"/>
        <i x="5" s="1"/>
        <i x="6" s="1"/>
        <i x="7" s="1"/>
        <i x="8" s="1"/>
        <i x="9" s="1"/>
        <i x="10"/>
        <i x="11"/>
        <i x="12"/>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3A22773-3B74-4E9D-83D8-DD56FAF9A36E}" sourceName="status">
  <pivotTables>
    <pivotTable tabId="10" name="PivotTable5"/>
    <pivotTable tabId="8" name="PivotTable3"/>
    <pivotTable tabId="9" name="PivotTable4"/>
    <pivotTable tabId="17" name="PivotTable5"/>
  </pivotTables>
  <data>
    <tabular pivotCacheId="1504799847">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id" xr10:uid="{16BEE77F-F42F-4DA2-A208-763E3E7AFCD7}" cache="Slicer_doctor_id" caption="doctor_id" rowHeight="247650"/>
  <slicer name="reason_for_visit" xr10:uid="{29930B25-A8E0-4825-9E3E-22DDA870F446}" cache="Slicer_reason_for_visit" caption="reason_for_visit" rowHeight="247650"/>
  <slicer name="Months (appointment_date)" xr10:uid="{E30D25AE-DCE0-4CE3-BB79-6A90E33C3BB5}" cache="Slicer_Months__appointment_date" caption="Months (appointment_date)" rowHeight="247650"/>
  <slicer name="status" xr10:uid="{3679D32E-37AE-465D-A23E-C4AD84903ADA}" cache="Slicer_status" caption="status" startItem="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tor_id 1" xr10:uid="{F061EBB9-AB4D-46AA-BF95-540699D230C0}" cache="Slicer_doctor_id" caption="doctor_id" style="SlicerStyleDark1" rowHeight="247650"/>
  <slicer name="reason_for_visit 1" xr10:uid="{4D8811D1-460B-4424-879F-C7FE31CF7A10}" cache="Slicer_reason_for_visit" caption="reason_for_visit" style="SlicerStyleDark1" rowHeight="247650"/>
  <slicer name="Months (appointment_date) 1" xr10:uid="{3B3DB018-619E-48F6-923C-E702CC4AE092}" cache="Slicer_Months__appointment_date" caption="Months (appointment_date)" style="SlicerStyleDark1" rowHeight="247650"/>
  <slicer name="status 1" xr10:uid="{B20A50CD-D183-4C79-8647-D6362638033B}" cache="Slicer_status" caption="status"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7961C9-4996-4C21-A40A-906A0D72D2F3}" name="Table1" displayName="Table1" ref="A1:T201" totalsRowShown="0">
  <autoFilter ref="A1:T201" xr:uid="{6B7961C9-4996-4C21-A40A-906A0D72D2F3}"/>
  <tableColumns count="20">
    <tableColumn id="1" xr3:uid="{F4D7FEF5-34C5-4FE0-99AB-26359D6C0CB9}" name="appointment_id"/>
    <tableColumn id="2" xr3:uid="{443F1370-2EC4-4D42-ABFC-E6CE255385E5}" name="patient_id"/>
    <tableColumn id="3" xr3:uid="{50948943-DA5B-40CE-B2CD-5EB08D1F1F0F}" name="doctor_id"/>
    <tableColumn id="4" xr3:uid="{1E2B30AA-60B2-4C73-92AE-AD8C1BB0A9F9}" name="appointment_date" dataDxfId="7"/>
    <tableColumn id="5" xr3:uid="{00F92042-11C0-46F7-BEE1-F3FDBD461725}" name="appointment_time" dataDxfId="6"/>
    <tableColumn id="6" xr3:uid="{EF69A608-81B5-4CB3-94D5-18E5E093347B}" name="reason_for_visit"/>
    <tableColumn id="7" xr3:uid="{27A671E9-1CE2-48AE-A997-E85BA67270EF}" name="status"/>
    <tableColumn id="8" xr3:uid="{998F6DED-E1E0-4CD7-8606-39DAD65C57E1}" name="first_name"/>
    <tableColumn id="9" xr3:uid="{56D23CD5-D847-4763-B33F-6D8C26C202B3}" name="last_name"/>
    <tableColumn id="10" xr3:uid="{FD5D3F30-46AB-4563-BD02-7C0B0ACC4420}" name="full_name">
      <calculatedColumnFormula>CONCATENATE(H2," ",I2)</calculatedColumnFormula>
    </tableColumn>
    <tableColumn id="11" xr3:uid="{F4414316-DE32-4B8C-98DF-31267DC4A234}" name="gender"/>
    <tableColumn id="12" xr3:uid="{2E6BEEAE-B728-4487-926F-73A6AD3D7C63}" name="date_of_birth" dataDxfId="5"/>
    <tableColumn id="13" xr3:uid="{F0500A7A-A918-43B4-AA9F-9AEF916B87EB}" name="age" dataDxfId="4"/>
    <tableColumn id="14" xr3:uid="{0D253765-596F-4CF2-BAFD-789D8671DF7A}" name="contact_number"/>
    <tableColumn id="15" xr3:uid="{A3EA7476-5B42-4FB8-A0F6-62AFBA800CC9}" name="address"/>
    <tableColumn id="16" xr3:uid="{68F9D7E5-EB3C-4EF9-87BC-083458B69754}" name="registration_date" dataDxfId="3"/>
    <tableColumn id="17" xr3:uid="{946FD86B-3A6E-4174-BEF1-7CEE18916CBB}" name="insurance_provider"/>
    <tableColumn id="18" xr3:uid="{C2917187-872B-46CA-AC05-6091BADE0DFE}" name="insurance_number"/>
    <tableColumn id="19" xr3:uid="{068A7239-FEBC-4C5C-84F5-43C6176F1E1C}" name="email"/>
    <tableColumn id="20" xr3:uid="{0FCF3FF6-43C6-4AD4-9C8F-35481B49EE29}" name="age group" dataDxfId="2">
      <calculatedColumnFormula array="1">_xlfn.IFS(Table1[[#This Row],[age]]&lt;=17,"CHILD",Table1[[#This Row],[age]]&lt;=35,"YOUNG ADULT",Table1[[#This Row],[age]]&lt;=55,"MIDDLE AGE",Table1[[#This Row],[age]]&gt;=56,"SENIOR")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9EBEE-88F6-4731-9B01-B4944771B887}">
  <sheetPr>
    <tabColor theme="6" tint="-0.499984740745262"/>
  </sheetPr>
  <dimension ref="A1:S201"/>
  <sheetViews>
    <sheetView topLeftCell="A75" zoomScale="93" zoomScaleNormal="40" workbookViewId="0">
      <selection activeCell="D3" sqref="D3"/>
    </sheetView>
  </sheetViews>
  <sheetFormatPr defaultRowHeight="14.4" x14ac:dyDescent="0.3"/>
  <cols>
    <col min="1" max="1" width="14.109375" bestFit="1" customWidth="1"/>
    <col min="2" max="2" width="9.21875" bestFit="1" customWidth="1"/>
    <col min="3" max="3" width="8.77734375" bestFit="1" customWidth="1"/>
    <col min="4" max="5" width="16.109375" bestFit="1" customWidth="1"/>
    <col min="6" max="6" width="14.109375" bestFit="1" customWidth="1"/>
    <col min="7" max="7" width="9.77734375" bestFit="1" customWidth="1"/>
    <col min="8" max="8" width="7.33203125" bestFit="1" customWidth="1"/>
    <col min="9" max="9" width="9.21875" bestFit="1" customWidth="1"/>
    <col min="10" max="10" width="9.6640625" bestFit="1" customWidth="1"/>
    <col min="11" max="11" width="9.44140625" bestFit="1" customWidth="1"/>
    <col min="12" max="12" width="6.6640625" bestFit="1" customWidth="1"/>
    <col min="13" max="13" width="11.77734375" bestFit="1" customWidth="1"/>
    <col min="14" max="14" width="14.5546875" bestFit="1" customWidth="1"/>
    <col min="15" max="15" width="11.77734375" bestFit="1" customWidth="1"/>
    <col min="16" max="16" width="14.88671875" bestFit="1" customWidth="1"/>
    <col min="17" max="17" width="16.88671875" bestFit="1" customWidth="1"/>
    <col min="18" max="18" width="16.44140625" bestFit="1" customWidth="1"/>
    <col min="19" max="19" width="24.33203125" bestFit="1" customWidth="1"/>
    <col min="20" max="20" width="8.77734375" bestFit="1" customWidth="1"/>
    <col min="21" max="21" width="9.44140625" bestFit="1" customWidth="1"/>
    <col min="22" max="22" width="9.21875" bestFit="1" customWidth="1"/>
    <col min="23" max="23" width="6.5546875" bestFit="1" customWidth="1"/>
    <col min="24" max="24" width="11.33203125" bestFit="1" customWidth="1"/>
    <col min="25" max="25" width="14.21875" bestFit="1" customWidth="1"/>
    <col min="26" max="26" width="11.44140625" bestFit="1" customWidth="1"/>
    <col min="27" max="27" width="14.5546875" bestFit="1" customWidth="1"/>
    <col min="28" max="28" width="16.44140625" bestFit="1" customWidth="1"/>
    <col min="29" max="29" width="16.109375" bestFit="1" customWidth="1"/>
    <col min="30" max="30" width="23.88671875" bestFit="1" customWidth="1"/>
  </cols>
  <sheetData>
    <row r="1" spans="1:19" x14ac:dyDescent="0.3">
      <c r="A1" s="6" t="s">
        <v>0</v>
      </c>
      <c r="B1" s="6" t="s">
        <v>1</v>
      </c>
      <c r="C1" s="6" t="s">
        <v>2</v>
      </c>
      <c r="D1" s="6" t="s">
        <v>3</v>
      </c>
      <c r="E1" s="6" t="s">
        <v>4</v>
      </c>
      <c r="F1" s="6" t="s">
        <v>5</v>
      </c>
      <c r="G1" s="6" t="s">
        <v>6</v>
      </c>
      <c r="I1" s="6" t="s">
        <v>1</v>
      </c>
      <c r="J1" s="6" t="s">
        <v>389</v>
      </c>
      <c r="K1" s="6" t="s">
        <v>390</v>
      </c>
      <c r="L1" s="6" t="s">
        <v>391</v>
      </c>
      <c r="M1" s="6" t="s">
        <v>392</v>
      </c>
      <c r="N1" s="6" t="s">
        <v>393</v>
      </c>
      <c r="O1" s="6" t="s">
        <v>394</v>
      </c>
      <c r="P1" s="6" t="s">
        <v>395</v>
      </c>
      <c r="Q1" s="6" t="s">
        <v>396</v>
      </c>
      <c r="R1" s="6" t="s">
        <v>397</v>
      </c>
      <c r="S1" s="6" t="s">
        <v>398</v>
      </c>
    </row>
    <row r="2" spans="1:19" x14ac:dyDescent="0.3">
      <c r="A2" s="6" t="s">
        <v>7</v>
      </c>
      <c r="B2" s="6" t="s">
        <v>8</v>
      </c>
      <c r="C2" s="6" t="s">
        <v>9</v>
      </c>
      <c r="D2" s="7">
        <v>45147</v>
      </c>
      <c r="E2" s="8">
        <v>0.63541666666666663</v>
      </c>
      <c r="F2" s="6" t="s">
        <v>10</v>
      </c>
      <c r="G2" s="6" t="s">
        <v>11</v>
      </c>
      <c r="I2" s="6" t="s">
        <v>61</v>
      </c>
      <c r="J2" s="6" t="s">
        <v>63</v>
      </c>
      <c r="K2" s="6" t="s">
        <v>50</v>
      </c>
      <c r="L2" s="6" t="s">
        <v>14</v>
      </c>
      <c r="M2" s="7">
        <v>20244</v>
      </c>
      <c r="N2" s="6">
        <v>6939585183</v>
      </c>
      <c r="O2" s="6" t="s">
        <v>64</v>
      </c>
      <c r="P2" s="7">
        <v>44735</v>
      </c>
      <c r="Q2" s="6" t="s">
        <v>16</v>
      </c>
      <c r="R2" s="6" t="s">
        <v>65</v>
      </c>
      <c r="S2" s="6" t="s">
        <v>66</v>
      </c>
    </row>
    <row r="3" spans="1:19" x14ac:dyDescent="0.3">
      <c r="A3" s="6" t="s">
        <v>19</v>
      </c>
      <c r="B3" s="6" t="s">
        <v>20</v>
      </c>
      <c r="C3" s="6" t="s">
        <v>21</v>
      </c>
      <c r="D3" s="7">
        <v>45086</v>
      </c>
      <c r="E3" s="8">
        <v>0.60416666666666663</v>
      </c>
      <c r="F3" s="6" t="s">
        <v>10</v>
      </c>
      <c r="G3" s="6" t="s">
        <v>22</v>
      </c>
      <c r="I3" s="6" t="s">
        <v>199</v>
      </c>
      <c r="J3" s="6" t="s">
        <v>33</v>
      </c>
      <c r="K3" s="6" t="s">
        <v>13</v>
      </c>
      <c r="L3" s="6" t="s">
        <v>14</v>
      </c>
      <c r="M3" s="7">
        <v>30967</v>
      </c>
      <c r="N3" s="6">
        <v>8228188767</v>
      </c>
      <c r="O3" s="6" t="s">
        <v>15</v>
      </c>
      <c r="P3" s="7">
        <v>44576</v>
      </c>
      <c r="Q3" s="6" t="s">
        <v>35</v>
      </c>
      <c r="R3" s="6" t="s">
        <v>200</v>
      </c>
      <c r="S3" s="6" t="s">
        <v>201</v>
      </c>
    </row>
    <row r="4" spans="1:19" x14ac:dyDescent="0.3">
      <c r="A4" s="6" t="s">
        <v>29</v>
      </c>
      <c r="B4" s="6" t="s">
        <v>30</v>
      </c>
      <c r="C4" s="6" t="s">
        <v>21</v>
      </c>
      <c r="D4" s="7">
        <v>45105</v>
      </c>
      <c r="E4" s="8">
        <v>0.33333333333333331</v>
      </c>
      <c r="F4" s="6" t="s">
        <v>31</v>
      </c>
      <c r="G4" s="6" t="s">
        <v>32</v>
      </c>
      <c r="I4" s="6" t="s">
        <v>96</v>
      </c>
      <c r="J4" s="6" t="s">
        <v>98</v>
      </c>
      <c r="K4" s="6" t="s">
        <v>99</v>
      </c>
      <c r="L4" s="6" t="s">
        <v>24</v>
      </c>
      <c r="M4" s="7">
        <v>28358</v>
      </c>
      <c r="N4" s="6">
        <v>8397029847</v>
      </c>
      <c r="O4" s="6" t="s">
        <v>15</v>
      </c>
      <c r="P4" s="7">
        <v>44599</v>
      </c>
      <c r="Q4" s="6" t="s">
        <v>35</v>
      </c>
      <c r="R4" s="6" t="s">
        <v>100</v>
      </c>
      <c r="S4" s="6" t="s">
        <v>101</v>
      </c>
    </row>
    <row r="5" spans="1:19" x14ac:dyDescent="0.3">
      <c r="A5" s="6" t="s">
        <v>38</v>
      </c>
      <c r="B5" s="6" t="s">
        <v>39</v>
      </c>
      <c r="C5" s="6" t="s">
        <v>40</v>
      </c>
      <c r="D5" s="7">
        <v>45170</v>
      </c>
      <c r="E5" s="8">
        <v>0.38541666666666669</v>
      </c>
      <c r="F5" s="6" t="s">
        <v>31</v>
      </c>
      <c r="G5" s="6" t="s">
        <v>32</v>
      </c>
      <c r="I5" s="6" t="s">
        <v>189</v>
      </c>
      <c r="J5" s="6" t="s">
        <v>70</v>
      </c>
      <c r="K5" s="6" t="s">
        <v>165</v>
      </c>
      <c r="L5" s="6" t="s">
        <v>14</v>
      </c>
      <c r="M5" s="7">
        <v>29637</v>
      </c>
      <c r="N5" s="6">
        <v>9019443432</v>
      </c>
      <c r="O5" s="6" t="s">
        <v>25</v>
      </c>
      <c r="P5" s="7">
        <v>44257</v>
      </c>
      <c r="Q5" s="6" t="s">
        <v>43</v>
      </c>
      <c r="R5" s="6" t="s">
        <v>190</v>
      </c>
      <c r="S5" s="6" t="s">
        <v>191</v>
      </c>
    </row>
    <row r="6" spans="1:19" x14ac:dyDescent="0.3">
      <c r="A6" s="6" t="s">
        <v>46</v>
      </c>
      <c r="B6" s="6" t="s">
        <v>47</v>
      </c>
      <c r="C6" s="6" t="s">
        <v>48</v>
      </c>
      <c r="D6" s="7">
        <v>45113</v>
      </c>
      <c r="E6" s="8">
        <v>0.53125</v>
      </c>
      <c r="F6" s="6" t="s">
        <v>49</v>
      </c>
      <c r="G6" s="6" t="s">
        <v>22</v>
      </c>
      <c r="I6" s="6" t="s">
        <v>81</v>
      </c>
      <c r="J6" s="6" t="s">
        <v>63</v>
      </c>
      <c r="K6" s="6" t="s">
        <v>42</v>
      </c>
      <c r="L6" s="6" t="s">
        <v>24</v>
      </c>
      <c r="M6" s="7">
        <v>22090</v>
      </c>
      <c r="N6" s="6">
        <v>7734463155</v>
      </c>
      <c r="O6" s="6" t="s">
        <v>25</v>
      </c>
      <c r="P6" s="7">
        <v>44468</v>
      </c>
      <c r="Q6" s="6" t="s">
        <v>26</v>
      </c>
      <c r="R6" s="6" t="s">
        <v>83</v>
      </c>
      <c r="S6" s="6" t="s">
        <v>84</v>
      </c>
    </row>
    <row r="7" spans="1:19" x14ac:dyDescent="0.3">
      <c r="A7" s="6" t="s">
        <v>54</v>
      </c>
      <c r="B7" s="6" t="s">
        <v>55</v>
      </c>
      <c r="C7" s="6" t="s">
        <v>40</v>
      </c>
      <c r="D7" s="7">
        <v>45096</v>
      </c>
      <c r="E7" s="8">
        <v>0.67708333333333337</v>
      </c>
      <c r="F7" s="6" t="s">
        <v>56</v>
      </c>
      <c r="G7" s="6" t="s">
        <v>11</v>
      </c>
      <c r="I7" s="6" t="s">
        <v>399</v>
      </c>
      <c r="J7" s="6" t="s">
        <v>57</v>
      </c>
      <c r="K7" s="6" t="s">
        <v>99</v>
      </c>
      <c r="L7" s="6" t="s">
        <v>24</v>
      </c>
      <c r="M7" s="7">
        <v>23178</v>
      </c>
      <c r="N7" s="6">
        <v>7561777264</v>
      </c>
      <c r="O7" s="6" t="s">
        <v>15</v>
      </c>
      <c r="P7" s="7">
        <v>44836</v>
      </c>
      <c r="Q7" s="6" t="s">
        <v>43</v>
      </c>
      <c r="R7" s="6" t="s">
        <v>400</v>
      </c>
      <c r="S7" s="6" t="s">
        <v>401</v>
      </c>
    </row>
    <row r="8" spans="1:19" x14ac:dyDescent="0.3">
      <c r="A8" s="6" t="s">
        <v>60</v>
      </c>
      <c r="B8" s="6" t="s">
        <v>61</v>
      </c>
      <c r="C8" s="6" t="s">
        <v>62</v>
      </c>
      <c r="D8" s="7">
        <v>45025</v>
      </c>
      <c r="E8" s="8">
        <v>0.4375</v>
      </c>
      <c r="F8" s="6" t="s">
        <v>31</v>
      </c>
      <c r="G8" s="6" t="s">
        <v>11</v>
      </c>
      <c r="I8" s="6" t="s">
        <v>269</v>
      </c>
      <c r="J8" s="6" t="s">
        <v>12</v>
      </c>
      <c r="K8" s="6" t="s">
        <v>165</v>
      </c>
      <c r="L8" s="6" t="s">
        <v>14</v>
      </c>
      <c r="M8" s="7">
        <v>32667</v>
      </c>
      <c r="N8" s="6">
        <v>6278710077</v>
      </c>
      <c r="O8" s="6" t="s">
        <v>64</v>
      </c>
      <c r="P8" s="7">
        <v>44555</v>
      </c>
      <c r="Q8" s="6" t="s">
        <v>26</v>
      </c>
      <c r="R8" s="6" t="s">
        <v>270</v>
      </c>
      <c r="S8" s="6" t="s">
        <v>271</v>
      </c>
    </row>
    <row r="9" spans="1:19" x14ac:dyDescent="0.3">
      <c r="A9" s="6" t="s">
        <v>67</v>
      </c>
      <c r="B9" s="6" t="s">
        <v>68</v>
      </c>
      <c r="C9" s="6" t="s">
        <v>69</v>
      </c>
      <c r="D9" s="7">
        <v>45070</v>
      </c>
      <c r="E9" s="8">
        <v>0.36458333333333331</v>
      </c>
      <c r="F9" s="6" t="s">
        <v>31</v>
      </c>
      <c r="G9" s="6" t="s">
        <v>32</v>
      </c>
      <c r="I9" s="6" t="s">
        <v>257</v>
      </c>
      <c r="J9" s="6" t="s">
        <v>63</v>
      </c>
      <c r="K9" s="6" t="s">
        <v>104</v>
      </c>
      <c r="L9" s="6" t="s">
        <v>14</v>
      </c>
      <c r="M9" s="7">
        <v>27946</v>
      </c>
      <c r="N9" s="6">
        <v>7090558393</v>
      </c>
      <c r="O9" s="6" t="s">
        <v>51</v>
      </c>
      <c r="P9" s="7">
        <v>44341</v>
      </c>
      <c r="Q9" s="6" t="s">
        <v>16</v>
      </c>
      <c r="R9" s="6" t="s">
        <v>258</v>
      </c>
      <c r="S9" s="6" t="s">
        <v>259</v>
      </c>
    </row>
    <row r="10" spans="1:19" x14ac:dyDescent="0.3">
      <c r="A10" s="6" t="s">
        <v>74</v>
      </c>
      <c r="B10" s="6" t="s">
        <v>75</v>
      </c>
      <c r="C10" s="6" t="s">
        <v>69</v>
      </c>
      <c r="D10" s="7">
        <v>44990</v>
      </c>
      <c r="E10" s="8">
        <v>0.57291666666666663</v>
      </c>
      <c r="F10" s="6" t="s">
        <v>76</v>
      </c>
      <c r="G10" s="6" t="s">
        <v>11</v>
      </c>
      <c r="I10" s="6" t="s">
        <v>287</v>
      </c>
      <c r="J10" s="6" t="s">
        <v>98</v>
      </c>
      <c r="K10" s="6" t="s">
        <v>104</v>
      </c>
      <c r="L10" s="6" t="s">
        <v>24</v>
      </c>
      <c r="M10" s="7">
        <v>26278</v>
      </c>
      <c r="N10" s="6">
        <v>7060324619</v>
      </c>
      <c r="O10" s="6" t="s">
        <v>15</v>
      </c>
      <c r="P10" s="7">
        <v>44822</v>
      </c>
      <c r="Q10" s="6" t="s">
        <v>35</v>
      </c>
      <c r="R10" s="6" t="s">
        <v>288</v>
      </c>
      <c r="S10" s="6" t="s">
        <v>106</v>
      </c>
    </row>
    <row r="11" spans="1:19" x14ac:dyDescent="0.3">
      <c r="A11" s="6" t="s">
        <v>80</v>
      </c>
      <c r="B11" s="6" t="s">
        <v>81</v>
      </c>
      <c r="C11" s="6" t="s">
        <v>48</v>
      </c>
      <c r="D11" s="7">
        <v>44939</v>
      </c>
      <c r="E11" s="8">
        <v>0.64583333333333337</v>
      </c>
      <c r="F11" s="6" t="s">
        <v>10</v>
      </c>
      <c r="G11" s="6" t="s">
        <v>82</v>
      </c>
      <c r="I11" s="6" t="s">
        <v>169</v>
      </c>
      <c r="J11" s="6" t="s">
        <v>70</v>
      </c>
      <c r="K11" s="6" t="s">
        <v>71</v>
      </c>
      <c r="L11" s="6" t="s">
        <v>24</v>
      </c>
      <c r="M11" s="7">
        <v>37177</v>
      </c>
      <c r="N11" s="6">
        <v>7081396733</v>
      </c>
      <c r="O11" s="6" t="s">
        <v>25</v>
      </c>
      <c r="P11" s="7">
        <v>44797</v>
      </c>
      <c r="Q11" s="6" t="s">
        <v>16</v>
      </c>
      <c r="R11" s="6" t="s">
        <v>170</v>
      </c>
      <c r="S11" s="6" t="s">
        <v>73</v>
      </c>
    </row>
    <row r="12" spans="1:19" x14ac:dyDescent="0.3">
      <c r="A12" s="6" t="s">
        <v>85</v>
      </c>
      <c r="B12" s="6" t="s">
        <v>86</v>
      </c>
      <c r="C12" s="6" t="s">
        <v>62</v>
      </c>
      <c r="D12" s="7">
        <v>45242</v>
      </c>
      <c r="E12" s="8">
        <v>0.66666666666666663</v>
      </c>
      <c r="F12" s="6" t="s">
        <v>56</v>
      </c>
      <c r="G12" s="6" t="s">
        <v>22</v>
      </c>
      <c r="I12" s="6" t="s">
        <v>276</v>
      </c>
      <c r="J12" s="6" t="s">
        <v>33</v>
      </c>
      <c r="K12" s="6" t="s">
        <v>99</v>
      </c>
      <c r="L12" s="6" t="s">
        <v>14</v>
      </c>
      <c r="M12" s="7">
        <v>24445</v>
      </c>
      <c r="N12" s="6">
        <v>8990604070</v>
      </c>
      <c r="O12" s="6" t="s">
        <v>64</v>
      </c>
      <c r="P12" s="7">
        <v>44831</v>
      </c>
      <c r="Q12" s="6" t="s">
        <v>26</v>
      </c>
      <c r="R12" s="6" t="s">
        <v>277</v>
      </c>
      <c r="S12" s="6" t="s">
        <v>278</v>
      </c>
    </row>
    <row r="13" spans="1:19" x14ac:dyDescent="0.3">
      <c r="A13" s="6" t="s">
        <v>91</v>
      </c>
      <c r="B13" s="6" t="s">
        <v>92</v>
      </c>
      <c r="C13" s="6" t="s">
        <v>48</v>
      </c>
      <c r="D13" s="7">
        <v>45053</v>
      </c>
      <c r="E13" s="8">
        <v>0.41666666666666669</v>
      </c>
      <c r="F13" s="6" t="s">
        <v>76</v>
      </c>
      <c r="G13" s="6" t="s">
        <v>82</v>
      </c>
      <c r="I13" s="6" t="s">
        <v>103</v>
      </c>
      <c r="J13" s="6" t="s">
        <v>98</v>
      </c>
      <c r="K13" s="6" t="s">
        <v>104</v>
      </c>
      <c r="L13" s="6" t="s">
        <v>14</v>
      </c>
      <c r="M13" s="7">
        <v>33580</v>
      </c>
      <c r="N13" s="6">
        <v>8135666049</v>
      </c>
      <c r="O13" s="6" t="s">
        <v>15</v>
      </c>
      <c r="P13" s="7">
        <v>45043</v>
      </c>
      <c r="Q13" s="6" t="s">
        <v>26</v>
      </c>
      <c r="R13" s="6" t="s">
        <v>105</v>
      </c>
      <c r="S13" s="6" t="s">
        <v>106</v>
      </c>
    </row>
    <row r="14" spans="1:19" x14ac:dyDescent="0.3">
      <c r="A14" s="6" t="s">
        <v>95</v>
      </c>
      <c r="B14" s="6" t="s">
        <v>96</v>
      </c>
      <c r="C14" s="6" t="s">
        <v>97</v>
      </c>
      <c r="D14" s="7">
        <v>45154</v>
      </c>
      <c r="E14" s="8">
        <v>0.5</v>
      </c>
      <c r="F14" s="6" t="s">
        <v>49</v>
      </c>
      <c r="G14" s="6" t="s">
        <v>11</v>
      </c>
      <c r="I14" s="6" t="s">
        <v>241</v>
      </c>
      <c r="J14" s="6" t="s">
        <v>98</v>
      </c>
      <c r="K14" s="6" t="s">
        <v>165</v>
      </c>
      <c r="L14" s="6" t="s">
        <v>14</v>
      </c>
      <c r="M14" s="7">
        <v>32960</v>
      </c>
      <c r="N14" s="6">
        <v>9059178882</v>
      </c>
      <c r="O14" s="6" t="s">
        <v>15</v>
      </c>
      <c r="P14" s="7">
        <v>44553</v>
      </c>
      <c r="Q14" s="6" t="s">
        <v>16</v>
      </c>
      <c r="R14" s="6" t="s">
        <v>242</v>
      </c>
      <c r="S14" s="6" t="s">
        <v>243</v>
      </c>
    </row>
    <row r="15" spans="1:19" x14ac:dyDescent="0.3">
      <c r="A15" s="6" t="s">
        <v>102</v>
      </c>
      <c r="B15" s="6" t="s">
        <v>103</v>
      </c>
      <c r="C15" s="6" t="s">
        <v>69</v>
      </c>
      <c r="D15" s="7">
        <v>45071</v>
      </c>
      <c r="E15" s="8">
        <v>0.4375</v>
      </c>
      <c r="F15" s="6" t="s">
        <v>49</v>
      </c>
      <c r="G15" s="6" t="s">
        <v>32</v>
      </c>
      <c r="I15" s="6" t="s">
        <v>121</v>
      </c>
      <c r="J15" s="6" t="s">
        <v>12</v>
      </c>
      <c r="K15" s="6" t="s">
        <v>71</v>
      </c>
      <c r="L15" s="6" t="s">
        <v>24</v>
      </c>
      <c r="M15" s="7">
        <v>24895</v>
      </c>
      <c r="N15" s="6">
        <v>7292262512</v>
      </c>
      <c r="O15" s="6" t="s">
        <v>64</v>
      </c>
      <c r="P15" s="7">
        <v>45272</v>
      </c>
      <c r="Q15" s="6" t="s">
        <v>26</v>
      </c>
      <c r="R15" s="6" t="s">
        <v>122</v>
      </c>
      <c r="S15" s="6" t="s">
        <v>123</v>
      </c>
    </row>
    <row r="16" spans="1:19" x14ac:dyDescent="0.3">
      <c r="A16" s="6" t="s">
        <v>107</v>
      </c>
      <c r="B16" s="6" t="s">
        <v>108</v>
      </c>
      <c r="C16" s="6" t="s">
        <v>21</v>
      </c>
      <c r="D16" s="7">
        <v>44941</v>
      </c>
      <c r="E16" s="8">
        <v>0.71875</v>
      </c>
      <c r="F16" s="6" t="s">
        <v>31</v>
      </c>
      <c r="G16" s="6" t="s">
        <v>22</v>
      </c>
      <c r="I16" s="6" t="s">
        <v>402</v>
      </c>
      <c r="J16" s="6" t="s">
        <v>181</v>
      </c>
      <c r="K16" s="6" t="s">
        <v>165</v>
      </c>
      <c r="L16" s="6" t="s">
        <v>24</v>
      </c>
      <c r="M16" s="7">
        <v>23508</v>
      </c>
      <c r="N16" s="6">
        <v>6636028516</v>
      </c>
      <c r="O16" s="6" t="s">
        <v>15</v>
      </c>
      <c r="P16" s="7">
        <v>44464</v>
      </c>
      <c r="Q16" s="6" t="s">
        <v>16</v>
      </c>
      <c r="R16" s="6" t="s">
        <v>403</v>
      </c>
      <c r="S16" s="6" t="s">
        <v>404</v>
      </c>
    </row>
    <row r="17" spans="1:19" x14ac:dyDescent="0.3">
      <c r="A17" s="6" t="s">
        <v>111</v>
      </c>
      <c r="B17" s="6" t="s">
        <v>68</v>
      </c>
      <c r="C17" s="6" t="s">
        <v>112</v>
      </c>
      <c r="D17" s="7">
        <v>45107</v>
      </c>
      <c r="E17" s="8">
        <v>0.45833333333333331</v>
      </c>
      <c r="F17" s="6" t="s">
        <v>31</v>
      </c>
      <c r="G17" s="6" t="s">
        <v>11</v>
      </c>
      <c r="I17" s="6" t="s">
        <v>68</v>
      </c>
      <c r="J17" s="6" t="s">
        <v>70</v>
      </c>
      <c r="K17" s="6" t="s">
        <v>71</v>
      </c>
      <c r="L17" s="6" t="s">
        <v>24</v>
      </c>
      <c r="M17" s="7">
        <v>36729</v>
      </c>
      <c r="N17" s="6">
        <v>7223380592</v>
      </c>
      <c r="O17" s="6" t="s">
        <v>64</v>
      </c>
      <c r="P17" s="7">
        <v>44400</v>
      </c>
      <c r="Q17" s="6" t="s">
        <v>35</v>
      </c>
      <c r="R17" s="6" t="s">
        <v>72</v>
      </c>
      <c r="S17" s="6" t="s">
        <v>73</v>
      </c>
    </row>
    <row r="18" spans="1:19" x14ac:dyDescent="0.3">
      <c r="A18" s="6" t="s">
        <v>113</v>
      </c>
      <c r="B18" s="6" t="s">
        <v>114</v>
      </c>
      <c r="C18" s="6" t="s">
        <v>9</v>
      </c>
      <c r="D18" s="7">
        <v>45118</v>
      </c>
      <c r="E18" s="8">
        <v>0.70833333333333337</v>
      </c>
      <c r="F18" s="6" t="s">
        <v>49</v>
      </c>
      <c r="G18" s="6" t="s">
        <v>11</v>
      </c>
      <c r="I18" s="6" t="s">
        <v>252</v>
      </c>
      <c r="J18" s="6" t="s">
        <v>77</v>
      </c>
      <c r="K18" s="6" t="s">
        <v>99</v>
      </c>
      <c r="L18" s="6" t="s">
        <v>24</v>
      </c>
      <c r="M18" s="7">
        <v>33359</v>
      </c>
      <c r="N18" s="6">
        <v>6158428240</v>
      </c>
      <c r="O18" s="6" t="s">
        <v>51</v>
      </c>
      <c r="P18" s="7">
        <v>44830</v>
      </c>
      <c r="Q18" s="6" t="s">
        <v>16</v>
      </c>
      <c r="R18" s="6" t="s">
        <v>253</v>
      </c>
      <c r="S18" s="6" t="s">
        <v>254</v>
      </c>
    </row>
    <row r="19" spans="1:19" x14ac:dyDescent="0.3">
      <c r="A19" s="6" t="s">
        <v>117</v>
      </c>
      <c r="B19" s="6" t="s">
        <v>86</v>
      </c>
      <c r="C19" s="6" t="s">
        <v>62</v>
      </c>
      <c r="D19" s="7">
        <v>45244</v>
      </c>
      <c r="E19" s="8">
        <v>0.40625</v>
      </c>
      <c r="F19" s="6" t="s">
        <v>31</v>
      </c>
      <c r="G19" s="6" t="s">
        <v>32</v>
      </c>
      <c r="I19" s="6" t="s">
        <v>296</v>
      </c>
      <c r="J19" s="6" t="s">
        <v>98</v>
      </c>
      <c r="K19" s="6" t="s">
        <v>42</v>
      </c>
      <c r="L19" s="6" t="s">
        <v>24</v>
      </c>
      <c r="M19" s="7">
        <v>29122</v>
      </c>
      <c r="N19" s="6">
        <v>7145815738</v>
      </c>
      <c r="O19" s="6" t="s">
        <v>64</v>
      </c>
      <c r="P19" s="7">
        <v>44827</v>
      </c>
      <c r="Q19" s="6" t="s">
        <v>35</v>
      </c>
      <c r="R19" s="6" t="s">
        <v>297</v>
      </c>
      <c r="S19" s="6" t="s">
        <v>217</v>
      </c>
    </row>
    <row r="20" spans="1:19" x14ac:dyDescent="0.3">
      <c r="A20" s="6" t="s">
        <v>118</v>
      </c>
      <c r="B20" s="6" t="s">
        <v>92</v>
      </c>
      <c r="C20" s="6" t="s">
        <v>119</v>
      </c>
      <c r="D20" s="7">
        <v>44963</v>
      </c>
      <c r="E20" s="8">
        <v>0.64583333333333337</v>
      </c>
      <c r="F20" s="6" t="s">
        <v>56</v>
      </c>
      <c r="G20" s="6" t="s">
        <v>32</v>
      </c>
      <c r="I20" s="6" t="s">
        <v>180</v>
      </c>
      <c r="J20" s="6" t="s">
        <v>181</v>
      </c>
      <c r="K20" s="6" t="s">
        <v>34</v>
      </c>
      <c r="L20" s="6" t="s">
        <v>24</v>
      </c>
      <c r="M20" s="7">
        <v>27538</v>
      </c>
      <c r="N20" s="6">
        <v>8618058864</v>
      </c>
      <c r="O20" s="6" t="s">
        <v>64</v>
      </c>
      <c r="P20" s="7">
        <v>45101</v>
      </c>
      <c r="Q20" s="6" t="s">
        <v>16</v>
      </c>
      <c r="R20" s="6" t="s">
        <v>182</v>
      </c>
      <c r="S20" s="6" t="s">
        <v>183</v>
      </c>
    </row>
    <row r="21" spans="1:19" x14ac:dyDescent="0.3">
      <c r="A21" s="6" t="s">
        <v>120</v>
      </c>
      <c r="B21" s="6" t="s">
        <v>121</v>
      </c>
      <c r="C21" s="6" t="s">
        <v>48</v>
      </c>
      <c r="D21" s="7">
        <v>45265</v>
      </c>
      <c r="E21" s="8">
        <v>0.63541666666666663</v>
      </c>
      <c r="F21" s="6" t="s">
        <v>31</v>
      </c>
      <c r="G21" s="6" t="s">
        <v>82</v>
      </c>
      <c r="I21" s="6" t="s">
        <v>210</v>
      </c>
      <c r="J21" s="6" t="s">
        <v>77</v>
      </c>
      <c r="K21" s="6" t="s">
        <v>23</v>
      </c>
      <c r="L21" s="6" t="s">
        <v>14</v>
      </c>
      <c r="M21" s="7">
        <v>37778</v>
      </c>
      <c r="N21" s="6">
        <v>8158989953</v>
      </c>
      <c r="O21" s="6" t="s">
        <v>64</v>
      </c>
      <c r="P21" s="7">
        <v>44654</v>
      </c>
      <c r="Q21" s="6" t="s">
        <v>26</v>
      </c>
      <c r="R21" s="6" t="s">
        <v>211</v>
      </c>
      <c r="S21" s="6" t="s">
        <v>131</v>
      </c>
    </row>
    <row r="22" spans="1:19" x14ac:dyDescent="0.3">
      <c r="A22" s="6" t="s">
        <v>124</v>
      </c>
      <c r="B22" s="6" t="s">
        <v>125</v>
      </c>
      <c r="C22" s="6" t="s">
        <v>9</v>
      </c>
      <c r="D22" s="7">
        <v>45040</v>
      </c>
      <c r="E22" s="8">
        <v>0.41666666666666669</v>
      </c>
      <c r="F22" s="6" t="s">
        <v>10</v>
      </c>
      <c r="G22" s="6" t="s">
        <v>22</v>
      </c>
      <c r="I22" s="6" t="s">
        <v>151</v>
      </c>
      <c r="J22" s="6" t="s">
        <v>70</v>
      </c>
      <c r="K22" s="6" t="s">
        <v>42</v>
      </c>
      <c r="L22" s="6" t="s">
        <v>24</v>
      </c>
      <c r="M22" s="7">
        <v>37316</v>
      </c>
      <c r="N22" s="6">
        <v>7765390555</v>
      </c>
      <c r="O22" s="6" t="s">
        <v>15</v>
      </c>
      <c r="P22" s="7">
        <v>44580</v>
      </c>
      <c r="Q22" s="6" t="s">
        <v>16</v>
      </c>
      <c r="R22" s="6" t="s">
        <v>152</v>
      </c>
      <c r="S22" s="6" t="s">
        <v>153</v>
      </c>
    </row>
    <row r="23" spans="1:19" x14ac:dyDescent="0.3">
      <c r="A23" s="6" t="s">
        <v>127</v>
      </c>
      <c r="B23" s="6" t="s">
        <v>81</v>
      </c>
      <c r="C23" s="6" t="s">
        <v>119</v>
      </c>
      <c r="D23" s="7">
        <v>45244</v>
      </c>
      <c r="E23" s="8">
        <v>0.54166666666666663</v>
      </c>
      <c r="F23" s="6" t="s">
        <v>31</v>
      </c>
      <c r="G23" s="6" t="s">
        <v>22</v>
      </c>
      <c r="I23" s="6" t="s">
        <v>86</v>
      </c>
      <c r="J23" s="6" t="s">
        <v>87</v>
      </c>
      <c r="K23" s="6" t="s">
        <v>88</v>
      </c>
      <c r="L23" s="6" t="s">
        <v>24</v>
      </c>
      <c r="M23" s="7">
        <v>20219</v>
      </c>
      <c r="N23" s="6">
        <v>6221099573</v>
      </c>
      <c r="O23" s="6" t="s">
        <v>15</v>
      </c>
      <c r="P23" s="7">
        <v>44327</v>
      </c>
      <c r="Q23" s="6" t="s">
        <v>26</v>
      </c>
      <c r="R23" s="6" t="s">
        <v>89</v>
      </c>
      <c r="S23" s="6" t="s">
        <v>90</v>
      </c>
    </row>
    <row r="24" spans="1:19" x14ac:dyDescent="0.3">
      <c r="A24" s="6" t="s">
        <v>128</v>
      </c>
      <c r="B24" s="6" t="s">
        <v>129</v>
      </c>
      <c r="C24" s="6" t="s">
        <v>9</v>
      </c>
      <c r="D24" s="7">
        <v>45055</v>
      </c>
      <c r="E24" s="8">
        <v>0.60416666666666663</v>
      </c>
      <c r="F24" s="6" t="s">
        <v>76</v>
      </c>
      <c r="G24" s="6" t="s">
        <v>32</v>
      </c>
      <c r="I24" s="6" t="s">
        <v>164</v>
      </c>
      <c r="J24" s="6" t="s">
        <v>57</v>
      </c>
      <c r="K24" s="6" t="s">
        <v>165</v>
      </c>
      <c r="L24" s="6" t="s">
        <v>24</v>
      </c>
      <c r="M24" s="7">
        <v>34387</v>
      </c>
      <c r="N24" s="6">
        <v>6141951830</v>
      </c>
      <c r="O24" s="6" t="s">
        <v>64</v>
      </c>
      <c r="P24" s="7">
        <v>44557</v>
      </c>
      <c r="Q24" s="6" t="s">
        <v>16</v>
      </c>
      <c r="R24" s="6" t="s">
        <v>166</v>
      </c>
      <c r="S24" s="6" t="s">
        <v>167</v>
      </c>
    </row>
    <row r="25" spans="1:19" x14ac:dyDescent="0.3">
      <c r="A25" s="6" t="s">
        <v>132</v>
      </c>
      <c r="B25" s="6" t="s">
        <v>133</v>
      </c>
      <c r="C25" s="6" t="s">
        <v>112</v>
      </c>
      <c r="D25" s="7">
        <v>45098</v>
      </c>
      <c r="E25" s="8">
        <v>0.33333333333333331</v>
      </c>
      <c r="F25" s="6" t="s">
        <v>56</v>
      </c>
      <c r="G25" s="6" t="s">
        <v>82</v>
      </c>
      <c r="I25" s="6" t="s">
        <v>194</v>
      </c>
      <c r="J25" s="6" t="s">
        <v>181</v>
      </c>
      <c r="K25" s="6" t="s">
        <v>88</v>
      </c>
      <c r="L25" s="6" t="s">
        <v>14</v>
      </c>
      <c r="M25" s="7">
        <v>33546</v>
      </c>
      <c r="N25" s="6">
        <v>7196777444</v>
      </c>
      <c r="O25" s="6" t="s">
        <v>15</v>
      </c>
      <c r="P25" s="7">
        <v>44441</v>
      </c>
      <c r="Q25" s="6" t="s">
        <v>16</v>
      </c>
      <c r="R25" s="6" t="s">
        <v>195</v>
      </c>
      <c r="S25" s="6" t="s">
        <v>196</v>
      </c>
    </row>
    <row r="26" spans="1:19" x14ac:dyDescent="0.3">
      <c r="A26" s="6" t="s">
        <v>136</v>
      </c>
      <c r="B26" s="6" t="s">
        <v>137</v>
      </c>
      <c r="C26" s="6" t="s">
        <v>119</v>
      </c>
      <c r="D26" s="7">
        <v>44982</v>
      </c>
      <c r="E26" s="8">
        <v>0.33333333333333331</v>
      </c>
      <c r="F26" s="6" t="s">
        <v>76</v>
      </c>
      <c r="G26" s="6" t="s">
        <v>22</v>
      </c>
      <c r="I26" s="6" t="s">
        <v>39</v>
      </c>
      <c r="J26" s="6" t="s">
        <v>41</v>
      </c>
      <c r="K26" s="6" t="s">
        <v>42</v>
      </c>
      <c r="L26" s="6" t="s">
        <v>24</v>
      </c>
      <c r="M26" s="7">
        <v>24333</v>
      </c>
      <c r="N26" s="6">
        <v>7482069727</v>
      </c>
      <c r="O26" s="6" t="s">
        <v>25</v>
      </c>
      <c r="P26" s="7">
        <v>44448</v>
      </c>
      <c r="Q26" s="6" t="s">
        <v>43</v>
      </c>
      <c r="R26" s="6" t="s">
        <v>44</v>
      </c>
      <c r="S26" s="6" t="s">
        <v>45</v>
      </c>
    </row>
    <row r="27" spans="1:19" x14ac:dyDescent="0.3">
      <c r="A27" s="6" t="s">
        <v>140</v>
      </c>
      <c r="B27" s="6" t="s">
        <v>141</v>
      </c>
      <c r="C27" s="6" t="s">
        <v>40</v>
      </c>
      <c r="D27" s="7">
        <v>45002</v>
      </c>
      <c r="E27" s="8">
        <v>0.59375</v>
      </c>
      <c r="F27" s="6" t="s">
        <v>76</v>
      </c>
      <c r="G27" s="6" t="s">
        <v>32</v>
      </c>
      <c r="I27" s="6" t="s">
        <v>108</v>
      </c>
      <c r="J27" s="6" t="s">
        <v>87</v>
      </c>
      <c r="K27" s="6" t="s">
        <v>71</v>
      </c>
      <c r="L27" s="6" t="s">
        <v>24</v>
      </c>
      <c r="M27" s="7">
        <v>37953</v>
      </c>
      <c r="N27" s="6">
        <v>9900972256</v>
      </c>
      <c r="O27" s="6" t="s">
        <v>25</v>
      </c>
      <c r="P27" s="7">
        <v>44329</v>
      </c>
      <c r="Q27" s="6" t="s">
        <v>26</v>
      </c>
      <c r="R27" s="6" t="s">
        <v>109</v>
      </c>
      <c r="S27" s="6" t="s">
        <v>110</v>
      </c>
    </row>
    <row r="28" spans="1:19" x14ac:dyDescent="0.3">
      <c r="A28" s="6" t="s">
        <v>143</v>
      </c>
      <c r="B28" s="6" t="s">
        <v>81</v>
      </c>
      <c r="C28" s="6" t="s">
        <v>144</v>
      </c>
      <c r="D28" s="7">
        <v>45244</v>
      </c>
      <c r="E28" s="8">
        <v>0.53125</v>
      </c>
      <c r="F28" s="6" t="s">
        <v>10</v>
      </c>
      <c r="G28" s="6" t="s">
        <v>11</v>
      </c>
      <c r="I28" s="6" t="s">
        <v>206</v>
      </c>
      <c r="J28" s="6" t="s">
        <v>57</v>
      </c>
      <c r="K28" s="6" t="s">
        <v>23</v>
      </c>
      <c r="L28" s="6" t="s">
        <v>14</v>
      </c>
      <c r="M28" s="7">
        <v>35975</v>
      </c>
      <c r="N28" s="6">
        <v>8724518272</v>
      </c>
      <c r="O28" s="6" t="s">
        <v>15</v>
      </c>
      <c r="P28" s="7">
        <v>44423</v>
      </c>
      <c r="Q28" s="6" t="s">
        <v>43</v>
      </c>
      <c r="R28" s="6" t="s">
        <v>207</v>
      </c>
      <c r="S28" s="6" t="s">
        <v>208</v>
      </c>
    </row>
    <row r="29" spans="1:19" x14ac:dyDescent="0.3">
      <c r="A29" s="6" t="s">
        <v>145</v>
      </c>
      <c r="B29" s="6" t="s">
        <v>103</v>
      </c>
      <c r="C29" s="6" t="s">
        <v>40</v>
      </c>
      <c r="D29" s="7">
        <v>45228</v>
      </c>
      <c r="E29" s="8">
        <v>0.64583333333333337</v>
      </c>
      <c r="F29" s="6" t="s">
        <v>56</v>
      </c>
      <c r="G29" s="6" t="s">
        <v>22</v>
      </c>
      <c r="I29" s="6" t="s">
        <v>125</v>
      </c>
      <c r="J29" s="6" t="s">
        <v>12</v>
      </c>
      <c r="K29" s="6" t="s">
        <v>23</v>
      </c>
      <c r="L29" s="6" t="s">
        <v>24</v>
      </c>
      <c r="M29" s="7">
        <v>34072</v>
      </c>
      <c r="N29" s="6">
        <v>7028910482</v>
      </c>
      <c r="O29" s="6" t="s">
        <v>15</v>
      </c>
      <c r="P29" s="7">
        <v>45066</v>
      </c>
      <c r="Q29" s="6" t="s">
        <v>26</v>
      </c>
      <c r="R29" s="6" t="s">
        <v>126</v>
      </c>
      <c r="S29" s="6" t="s">
        <v>28</v>
      </c>
    </row>
    <row r="30" spans="1:19" x14ac:dyDescent="0.3">
      <c r="A30" s="6" t="s">
        <v>146</v>
      </c>
      <c r="B30" s="6" t="s">
        <v>68</v>
      </c>
      <c r="C30" s="6" t="s">
        <v>69</v>
      </c>
      <c r="D30" s="7">
        <v>45102</v>
      </c>
      <c r="E30" s="8">
        <v>0.60416666666666663</v>
      </c>
      <c r="F30" s="6" t="s">
        <v>56</v>
      </c>
      <c r="G30" s="6" t="s">
        <v>82</v>
      </c>
      <c r="I30" s="6" t="s">
        <v>92</v>
      </c>
      <c r="J30" s="6" t="s">
        <v>63</v>
      </c>
      <c r="K30" s="6" t="s">
        <v>13</v>
      </c>
      <c r="L30" s="6" t="s">
        <v>24</v>
      </c>
      <c r="M30" s="7">
        <v>38487</v>
      </c>
      <c r="N30" s="6">
        <v>8923607677</v>
      </c>
      <c r="O30" s="6" t="s">
        <v>64</v>
      </c>
      <c r="P30" s="7">
        <v>45035</v>
      </c>
      <c r="Q30" s="6" t="s">
        <v>43</v>
      </c>
      <c r="R30" s="6" t="s">
        <v>93</v>
      </c>
      <c r="S30" s="6" t="s">
        <v>94</v>
      </c>
    </row>
    <row r="31" spans="1:19" x14ac:dyDescent="0.3">
      <c r="A31" s="6" t="s">
        <v>147</v>
      </c>
      <c r="B31" s="6" t="s">
        <v>108</v>
      </c>
      <c r="C31" s="6" t="s">
        <v>144</v>
      </c>
      <c r="D31" s="7">
        <v>45167</v>
      </c>
      <c r="E31" s="8">
        <v>0.55208333333333337</v>
      </c>
      <c r="F31" s="6" t="s">
        <v>56</v>
      </c>
      <c r="G31" s="6" t="s">
        <v>82</v>
      </c>
      <c r="I31" s="6" t="s">
        <v>137</v>
      </c>
      <c r="J31" s="6" t="s">
        <v>33</v>
      </c>
      <c r="K31" s="6" t="s">
        <v>23</v>
      </c>
      <c r="L31" s="6" t="s">
        <v>24</v>
      </c>
      <c r="M31" s="7">
        <v>23734</v>
      </c>
      <c r="N31" s="6">
        <v>6622318721</v>
      </c>
      <c r="O31" s="6" t="s">
        <v>51</v>
      </c>
      <c r="P31" s="7">
        <v>44415</v>
      </c>
      <c r="Q31" s="6" t="s">
        <v>35</v>
      </c>
      <c r="R31" s="6" t="s">
        <v>138</v>
      </c>
      <c r="S31" s="6" t="s">
        <v>139</v>
      </c>
    </row>
    <row r="32" spans="1:19" x14ac:dyDescent="0.3">
      <c r="A32" s="6" t="s">
        <v>148</v>
      </c>
      <c r="B32" s="6" t="s">
        <v>108</v>
      </c>
      <c r="C32" s="6" t="s">
        <v>40</v>
      </c>
      <c r="D32" s="7">
        <v>45020</v>
      </c>
      <c r="E32" s="8">
        <v>0.4375</v>
      </c>
      <c r="F32" s="6" t="s">
        <v>56</v>
      </c>
      <c r="G32" s="6" t="s">
        <v>82</v>
      </c>
      <c r="I32" s="6" t="s">
        <v>175</v>
      </c>
      <c r="J32" s="6" t="s">
        <v>41</v>
      </c>
      <c r="K32" s="6" t="s">
        <v>34</v>
      </c>
      <c r="L32" s="6" t="s">
        <v>24</v>
      </c>
      <c r="M32" s="7">
        <v>31791</v>
      </c>
      <c r="N32" s="6">
        <v>8280346676</v>
      </c>
      <c r="O32" s="6" t="s">
        <v>15</v>
      </c>
      <c r="P32" s="7">
        <v>44740</v>
      </c>
      <c r="Q32" s="6" t="s">
        <v>16</v>
      </c>
      <c r="R32" s="6" t="s">
        <v>176</v>
      </c>
      <c r="S32" s="6" t="s">
        <v>177</v>
      </c>
    </row>
    <row r="33" spans="1:19" x14ac:dyDescent="0.3">
      <c r="A33" s="6" t="s">
        <v>149</v>
      </c>
      <c r="B33" s="6" t="s">
        <v>30</v>
      </c>
      <c r="C33" s="6" t="s">
        <v>144</v>
      </c>
      <c r="D33" s="7">
        <v>45236</v>
      </c>
      <c r="E33" s="8">
        <v>0.44791666666666669</v>
      </c>
      <c r="F33" s="6" t="s">
        <v>56</v>
      </c>
      <c r="G33" s="6" t="s">
        <v>11</v>
      </c>
      <c r="I33" s="6" t="s">
        <v>20</v>
      </c>
      <c r="J33" s="6" t="s">
        <v>12</v>
      </c>
      <c r="K33" s="6" t="s">
        <v>23</v>
      </c>
      <c r="L33" s="6" t="s">
        <v>24</v>
      </c>
      <c r="M33" s="7">
        <v>29594</v>
      </c>
      <c r="N33" s="6">
        <v>8102183595</v>
      </c>
      <c r="O33" s="6" t="s">
        <v>25</v>
      </c>
      <c r="P33" s="7">
        <v>44471</v>
      </c>
      <c r="Q33" s="6" t="s">
        <v>26</v>
      </c>
      <c r="R33" s="6" t="s">
        <v>27</v>
      </c>
      <c r="S33" s="6" t="s">
        <v>28</v>
      </c>
    </row>
    <row r="34" spans="1:19" x14ac:dyDescent="0.3">
      <c r="A34" s="6" t="s">
        <v>150</v>
      </c>
      <c r="B34" s="6" t="s">
        <v>151</v>
      </c>
      <c r="C34" s="6" t="s">
        <v>144</v>
      </c>
      <c r="D34" s="7">
        <v>45192</v>
      </c>
      <c r="E34" s="8">
        <v>0.73958333333333337</v>
      </c>
      <c r="F34" s="6" t="s">
        <v>10</v>
      </c>
      <c r="G34" s="6" t="s">
        <v>22</v>
      </c>
      <c r="I34" s="6" t="s">
        <v>159</v>
      </c>
      <c r="J34" s="6" t="s">
        <v>70</v>
      </c>
      <c r="K34" s="6" t="s">
        <v>42</v>
      </c>
      <c r="L34" s="6" t="s">
        <v>14</v>
      </c>
      <c r="M34" s="7">
        <v>25605</v>
      </c>
      <c r="N34" s="6">
        <v>7923214041</v>
      </c>
      <c r="O34" s="6" t="s">
        <v>64</v>
      </c>
      <c r="P34" s="7">
        <v>45175</v>
      </c>
      <c r="Q34" s="6" t="s">
        <v>26</v>
      </c>
      <c r="R34" s="6" t="s">
        <v>160</v>
      </c>
      <c r="S34" s="6" t="s">
        <v>153</v>
      </c>
    </row>
    <row r="35" spans="1:19" x14ac:dyDescent="0.3">
      <c r="A35" s="6" t="s">
        <v>154</v>
      </c>
      <c r="B35" s="6" t="s">
        <v>75</v>
      </c>
      <c r="C35" s="6" t="s">
        <v>21</v>
      </c>
      <c r="D35" s="7">
        <v>45090</v>
      </c>
      <c r="E35" s="8">
        <v>0.47916666666666669</v>
      </c>
      <c r="F35" s="6" t="s">
        <v>31</v>
      </c>
      <c r="G35" s="6" t="s">
        <v>22</v>
      </c>
      <c r="I35" s="6" t="s">
        <v>8</v>
      </c>
      <c r="J35" s="6" t="s">
        <v>12</v>
      </c>
      <c r="K35" s="6" t="s">
        <v>13</v>
      </c>
      <c r="L35" s="6" t="s">
        <v>14</v>
      </c>
      <c r="M35" s="7">
        <v>18289</v>
      </c>
      <c r="N35" s="6">
        <v>8374657733</v>
      </c>
      <c r="O35" s="6" t="s">
        <v>15</v>
      </c>
      <c r="P35" s="7">
        <v>45095</v>
      </c>
      <c r="Q35" s="6" t="s">
        <v>16</v>
      </c>
      <c r="R35" s="6" t="s">
        <v>17</v>
      </c>
      <c r="S35" s="6" t="s">
        <v>18</v>
      </c>
    </row>
    <row r="36" spans="1:19" x14ac:dyDescent="0.3">
      <c r="A36" s="6" t="s">
        <v>155</v>
      </c>
      <c r="B36" s="6" t="s">
        <v>156</v>
      </c>
      <c r="C36" s="6" t="s">
        <v>48</v>
      </c>
      <c r="D36" s="7">
        <v>45034</v>
      </c>
      <c r="E36" s="8">
        <v>0.36458333333333331</v>
      </c>
      <c r="F36" s="6" t="s">
        <v>76</v>
      </c>
      <c r="G36" s="6" t="s">
        <v>11</v>
      </c>
      <c r="I36" s="6" t="s">
        <v>219</v>
      </c>
      <c r="J36" s="6" t="s">
        <v>63</v>
      </c>
      <c r="K36" s="6" t="s">
        <v>42</v>
      </c>
      <c r="L36" s="6" t="s">
        <v>14</v>
      </c>
      <c r="M36" s="7">
        <v>34072</v>
      </c>
      <c r="N36" s="6">
        <v>7039619487</v>
      </c>
      <c r="O36" s="6" t="s">
        <v>25</v>
      </c>
      <c r="P36" s="7">
        <v>45116</v>
      </c>
      <c r="Q36" s="6" t="s">
        <v>26</v>
      </c>
      <c r="R36" s="6" t="s">
        <v>220</v>
      </c>
      <c r="S36" s="6" t="s">
        <v>84</v>
      </c>
    </row>
    <row r="37" spans="1:19" x14ac:dyDescent="0.3">
      <c r="A37" s="6" t="s">
        <v>158</v>
      </c>
      <c r="B37" s="6" t="s">
        <v>159</v>
      </c>
      <c r="C37" s="6" t="s">
        <v>48</v>
      </c>
      <c r="D37" s="7">
        <v>44934</v>
      </c>
      <c r="E37" s="8">
        <v>0.60416666666666663</v>
      </c>
      <c r="F37" s="6" t="s">
        <v>56</v>
      </c>
      <c r="G37" s="6" t="s">
        <v>22</v>
      </c>
      <c r="I37" s="6" t="s">
        <v>156</v>
      </c>
      <c r="J37" s="6" t="s">
        <v>70</v>
      </c>
      <c r="K37" s="6" t="s">
        <v>42</v>
      </c>
      <c r="L37" s="6" t="s">
        <v>24</v>
      </c>
      <c r="M37" s="7">
        <v>35790</v>
      </c>
      <c r="N37" s="6">
        <v>8545613046</v>
      </c>
      <c r="O37" s="6" t="s">
        <v>25</v>
      </c>
      <c r="P37" s="7">
        <v>44838</v>
      </c>
      <c r="Q37" s="6" t="s">
        <v>26</v>
      </c>
      <c r="R37" s="6" t="s">
        <v>157</v>
      </c>
      <c r="S37" s="6" t="s">
        <v>153</v>
      </c>
    </row>
    <row r="38" spans="1:19" x14ac:dyDescent="0.3">
      <c r="A38" s="6" t="s">
        <v>161</v>
      </c>
      <c r="B38" s="6" t="s">
        <v>137</v>
      </c>
      <c r="C38" s="6" t="s">
        <v>21</v>
      </c>
      <c r="D38" s="7">
        <v>45013</v>
      </c>
      <c r="E38" s="8">
        <v>0.45833333333333331</v>
      </c>
      <c r="F38" s="6" t="s">
        <v>31</v>
      </c>
      <c r="G38" s="6" t="s">
        <v>11</v>
      </c>
      <c r="I38" s="6" t="s">
        <v>114</v>
      </c>
      <c r="J38" s="6" t="s">
        <v>41</v>
      </c>
      <c r="K38" s="6" t="s">
        <v>50</v>
      </c>
      <c r="L38" s="6" t="s">
        <v>24</v>
      </c>
      <c r="M38" s="7">
        <v>36196</v>
      </c>
      <c r="N38" s="6">
        <v>8886800195</v>
      </c>
      <c r="O38" s="6" t="s">
        <v>51</v>
      </c>
      <c r="P38" s="7">
        <v>44469</v>
      </c>
      <c r="Q38" s="6" t="s">
        <v>43</v>
      </c>
      <c r="R38" s="6" t="s">
        <v>115</v>
      </c>
      <c r="S38" s="6" t="s">
        <v>116</v>
      </c>
    </row>
    <row r="39" spans="1:19" x14ac:dyDescent="0.3">
      <c r="A39" s="6" t="s">
        <v>162</v>
      </c>
      <c r="B39" s="6" t="s">
        <v>114</v>
      </c>
      <c r="C39" s="6" t="s">
        <v>9</v>
      </c>
      <c r="D39" s="7">
        <v>44980</v>
      </c>
      <c r="E39" s="8">
        <v>0.54166666666666663</v>
      </c>
      <c r="F39" s="6" t="s">
        <v>31</v>
      </c>
      <c r="G39" s="6" t="s">
        <v>11</v>
      </c>
      <c r="I39" s="6" t="s">
        <v>366</v>
      </c>
      <c r="J39" s="6" t="s">
        <v>63</v>
      </c>
      <c r="K39" s="6" t="s">
        <v>13</v>
      </c>
      <c r="L39" s="6" t="s">
        <v>24</v>
      </c>
      <c r="M39" s="7">
        <v>33414</v>
      </c>
      <c r="N39" s="6">
        <v>6347262390</v>
      </c>
      <c r="O39" s="6" t="s">
        <v>64</v>
      </c>
      <c r="P39" s="7">
        <v>44305</v>
      </c>
      <c r="Q39" s="6" t="s">
        <v>26</v>
      </c>
      <c r="R39" s="6" t="s">
        <v>367</v>
      </c>
      <c r="S39" s="6" t="s">
        <v>94</v>
      </c>
    </row>
    <row r="40" spans="1:19" x14ac:dyDescent="0.3">
      <c r="A40" s="6" t="s">
        <v>163</v>
      </c>
      <c r="B40" s="6" t="s">
        <v>164</v>
      </c>
      <c r="C40" s="6" t="s">
        <v>97</v>
      </c>
      <c r="D40" s="7">
        <v>45033</v>
      </c>
      <c r="E40" s="8">
        <v>0.33333333333333331</v>
      </c>
      <c r="F40" s="6" t="s">
        <v>76</v>
      </c>
      <c r="G40" s="6" t="s">
        <v>11</v>
      </c>
      <c r="I40" s="6" t="s">
        <v>75</v>
      </c>
      <c r="J40" s="6" t="s">
        <v>77</v>
      </c>
      <c r="K40" s="6" t="s">
        <v>42</v>
      </c>
      <c r="L40" s="6" t="s">
        <v>14</v>
      </c>
      <c r="M40" s="7">
        <v>18609</v>
      </c>
      <c r="N40" s="6">
        <v>9271131338</v>
      </c>
      <c r="O40" s="6" t="s">
        <v>64</v>
      </c>
      <c r="P40" s="7">
        <v>44264</v>
      </c>
      <c r="Q40" s="6" t="s">
        <v>35</v>
      </c>
      <c r="R40" s="6" t="s">
        <v>78</v>
      </c>
      <c r="S40" s="6" t="s">
        <v>79</v>
      </c>
    </row>
    <row r="41" spans="1:19" x14ac:dyDescent="0.3">
      <c r="A41" s="6" t="s">
        <v>168</v>
      </c>
      <c r="B41" s="6" t="s">
        <v>169</v>
      </c>
      <c r="C41" s="6" t="s">
        <v>9</v>
      </c>
      <c r="D41" s="7">
        <v>45012</v>
      </c>
      <c r="E41" s="8">
        <v>0.52083333333333337</v>
      </c>
      <c r="F41" s="6" t="s">
        <v>10</v>
      </c>
      <c r="G41" s="6" t="s">
        <v>82</v>
      </c>
      <c r="I41" s="6" t="s">
        <v>47</v>
      </c>
      <c r="J41" s="6" t="s">
        <v>33</v>
      </c>
      <c r="K41" s="6" t="s">
        <v>50</v>
      </c>
      <c r="L41" s="6" t="s">
        <v>24</v>
      </c>
      <c r="M41" s="7">
        <v>26449</v>
      </c>
      <c r="N41" s="6">
        <v>7587653815</v>
      </c>
      <c r="O41" s="6" t="s">
        <v>51</v>
      </c>
      <c r="P41" s="7">
        <v>44485</v>
      </c>
      <c r="Q41" s="6" t="s">
        <v>35</v>
      </c>
      <c r="R41" s="6" t="s">
        <v>52</v>
      </c>
      <c r="S41" s="6" t="s">
        <v>53</v>
      </c>
    </row>
    <row r="42" spans="1:19" x14ac:dyDescent="0.3">
      <c r="A42" s="6" t="s">
        <v>171</v>
      </c>
      <c r="B42" s="6" t="s">
        <v>81</v>
      </c>
      <c r="C42" s="6" t="s">
        <v>119</v>
      </c>
      <c r="D42" s="7">
        <v>44927</v>
      </c>
      <c r="E42" s="8">
        <v>0.58333333333333337</v>
      </c>
      <c r="F42" s="6" t="s">
        <v>49</v>
      </c>
      <c r="G42" s="6" t="s">
        <v>22</v>
      </c>
      <c r="I42" s="6" t="s">
        <v>266</v>
      </c>
      <c r="J42" s="6" t="s">
        <v>41</v>
      </c>
      <c r="K42" s="6" t="s">
        <v>50</v>
      </c>
      <c r="L42" s="6" t="s">
        <v>24</v>
      </c>
      <c r="M42" s="7">
        <v>18798</v>
      </c>
      <c r="N42" s="6">
        <v>7020645498</v>
      </c>
      <c r="O42" s="6" t="s">
        <v>51</v>
      </c>
      <c r="P42" s="7">
        <v>44758</v>
      </c>
      <c r="Q42" s="6" t="s">
        <v>16</v>
      </c>
      <c r="R42" s="6" t="s">
        <v>267</v>
      </c>
      <c r="S42" s="6" t="s">
        <v>116</v>
      </c>
    </row>
    <row r="43" spans="1:19" x14ac:dyDescent="0.3">
      <c r="A43" s="6" t="s">
        <v>172</v>
      </c>
      <c r="B43" s="6" t="s">
        <v>156</v>
      </c>
      <c r="C43" s="6" t="s">
        <v>119</v>
      </c>
      <c r="D43" s="7">
        <v>45006</v>
      </c>
      <c r="E43" s="8">
        <v>0.46875</v>
      </c>
      <c r="F43" s="6" t="s">
        <v>49</v>
      </c>
      <c r="G43" s="6" t="s">
        <v>11</v>
      </c>
      <c r="I43" s="6" t="s">
        <v>346</v>
      </c>
      <c r="J43" s="6" t="s">
        <v>77</v>
      </c>
      <c r="K43" s="6" t="s">
        <v>13</v>
      </c>
      <c r="L43" s="6" t="s">
        <v>14</v>
      </c>
      <c r="M43" s="7">
        <v>19958</v>
      </c>
      <c r="N43" s="6">
        <v>7040069008</v>
      </c>
      <c r="O43" s="6" t="s">
        <v>64</v>
      </c>
      <c r="P43" s="7">
        <v>44635</v>
      </c>
      <c r="Q43" s="6" t="s">
        <v>26</v>
      </c>
      <c r="R43" s="6" t="s">
        <v>347</v>
      </c>
      <c r="S43" s="6" t="s">
        <v>348</v>
      </c>
    </row>
    <row r="44" spans="1:19" x14ac:dyDescent="0.3">
      <c r="A44" s="6" t="s">
        <v>173</v>
      </c>
      <c r="B44" s="6" t="s">
        <v>8</v>
      </c>
      <c r="C44" s="6" t="s">
        <v>144</v>
      </c>
      <c r="D44" s="7">
        <v>45014</v>
      </c>
      <c r="E44" s="8">
        <v>0.38541666666666669</v>
      </c>
      <c r="F44" s="6" t="s">
        <v>31</v>
      </c>
      <c r="G44" s="6" t="s">
        <v>22</v>
      </c>
      <c r="I44" s="6" t="s">
        <v>224</v>
      </c>
      <c r="J44" s="6" t="s">
        <v>57</v>
      </c>
      <c r="K44" s="6" t="s">
        <v>88</v>
      </c>
      <c r="L44" s="6" t="s">
        <v>24</v>
      </c>
      <c r="M44" s="7">
        <v>29305</v>
      </c>
      <c r="N44" s="6">
        <v>9127665406</v>
      </c>
      <c r="O44" s="6" t="s">
        <v>64</v>
      </c>
      <c r="P44" s="7">
        <v>44760</v>
      </c>
      <c r="Q44" s="6" t="s">
        <v>16</v>
      </c>
      <c r="R44" s="6" t="s">
        <v>225</v>
      </c>
      <c r="S44" s="6" t="s">
        <v>226</v>
      </c>
    </row>
    <row r="45" spans="1:19" x14ac:dyDescent="0.3">
      <c r="A45" s="6" t="s">
        <v>174</v>
      </c>
      <c r="B45" s="6" t="s">
        <v>175</v>
      </c>
      <c r="C45" s="6" t="s">
        <v>40</v>
      </c>
      <c r="D45" s="7">
        <v>45189</v>
      </c>
      <c r="E45" s="8">
        <v>0.52083333333333337</v>
      </c>
      <c r="F45" s="6" t="s">
        <v>76</v>
      </c>
      <c r="G45" s="6" t="s">
        <v>82</v>
      </c>
      <c r="I45" s="6" t="s">
        <v>236</v>
      </c>
      <c r="J45" s="6" t="s">
        <v>41</v>
      </c>
      <c r="K45" s="6" t="s">
        <v>71</v>
      </c>
      <c r="L45" s="6" t="s">
        <v>14</v>
      </c>
      <c r="M45" s="7">
        <v>27830</v>
      </c>
      <c r="N45" s="6">
        <v>9449458981</v>
      </c>
      <c r="O45" s="6" t="s">
        <v>15</v>
      </c>
      <c r="P45" s="7">
        <v>44952</v>
      </c>
      <c r="Q45" s="6" t="s">
        <v>35</v>
      </c>
      <c r="R45" s="6" t="s">
        <v>237</v>
      </c>
      <c r="S45" s="6" t="s">
        <v>238</v>
      </c>
    </row>
    <row r="46" spans="1:19" x14ac:dyDescent="0.3">
      <c r="A46" s="6" t="s">
        <v>178</v>
      </c>
      <c r="B46" s="6" t="s">
        <v>169</v>
      </c>
      <c r="C46" s="6" t="s">
        <v>40</v>
      </c>
      <c r="D46" s="7">
        <v>45197</v>
      </c>
      <c r="E46" s="8">
        <v>0.70833333333333337</v>
      </c>
      <c r="F46" s="6" t="s">
        <v>49</v>
      </c>
      <c r="G46" s="6" t="s">
        <v>11</v>
      </c>
      <c r="I46" s="6" t="s">
        <v>55</v>
      </c>
      <c r="J46" s="6" t="s">
        <v>57</v>
      </c>
      <c r="K46" s="6" t="s">
        <v>34</v>
      </c>
      <c r="L46" s="6" t="s">
        <v>14</v>
      </c>
      <c r="M46" s="7">
        <v>24222</v>
      </c>
      <c r="N46" s="6">
        <v>7579616535</v>
      </c>
      <c r="O46" s="6" t="s">
        <v>15</v>
      </c>
      <c r="P46" s="7">
        <v>44219</v>
      </c>
      <c r="Q46" s="6" t="s">
        <v>26</v>
      </c>
      <c r="R46" s="6" t="s">
        <v>58</v>
      </c>
      <c r="S46" s="6" t="s">
        <v>59</v>
      </c>
    </row>
    <row r="47" spans="1:19" x14ac:dyDescent="0.3">
      <c r="A47" s="6" t="s">
        <v>179</v>
      </c>
      <c r="B47" s="6" t="s">
        <v>180</v>
      </c>
      <c r="C47" s="6" t="s">
        <v>48</v>
      </c>
      <c r="D47" s="7">
        <v>45280</v>
      </c>
      <c r="E47" s="8">
        <v>0.55208333333333337</v>
      </c>
      <c r="F47" s="6" t="s">
        <v>31</v>
      </c>
      <c r="G47" s="6" t="s">
        <v>32</v>
      </c>
      <c r="I47" s="6" t="s">
        <v>141</v>
      </c>
      <c r="J47" s="6" t="s">
        <v>70</v>
      </c>
      <c r="K47" s="6" t="s">
        <v>71</v>
      </c>
      <c r="L47" s="6" t="s">
        <v>14</v>
      </c>
      <c r="M47" s="7">
        <v>31656</v>
      </c>
      <c r="N47" s="6">
        <v>8019925828</v>
      </c>
      <c r="O47" s="6" t="s">
        <v>51</v>
      </c>
      <c r="P47" s="7">
        <v>44408</v>
      </c>
      <c r="Q47" s="6" t="s">
        <v>26</v>
      </c>
      <c r="R47" s="6" t="s">
        <v>142</v>
      </c>
      <c r="S47" s="6" t="s">
        <v>73</v>
      </c>
    </row>
    <row r="48" spans="1:19" x14ac:dyDescent="0.3">
      <c r="A48" s="6" t="s">
        <v>184</v>
      </c>
      <c r="B48" s="6" t="s">
        <v>20</v>
      </c>
      <c r="C48" s="6" t="s">
        <v>62</v>
      </c>
      <c r="D48" s="7">
        <v>45048</v>
      </c>
      <c r="E48" s="8">
        <v>0.45833333333333331</v>
      </c>
      <c r="F48" s="6" t="s">
        <v>10</v>
      </c>
      <c r="G48" s="6" t="s">
        <v>82</v>
      </c>
      <c r="I48" s="6" t="s">
        <v>129</v>
      </c>
      <c r="J48" s="6" t="s">
        <v>77</v>
      </c>
      <c r="K48" s="6" t="s">
        <v>23</v>
      </c>
      <c r="L48" s="6" t="s">
        <v>24</v>
      </c>
      <c r="M48" s="7">
        <v>35046</v>
      </c>
      <c r="N48" s="6">
        <v>8715732851</v>
      </c>
      <c r="O48" s="6" t="s">
        <v>15</v>
      </c>
      <c r="P48" s="7">
        <v>44701</v>
      </c>
      <c r="Q48" s="6" t="s">
        <v>16</v>
      </c>
      <c r="R48" s="6" t="s">
        <v>130</v>
      </c>
      <c r="S48" s="6" t="s">
        <v>131</v>
      </c>
    </row>
    <row r="49" spans="1:19" x14ac:dyDescent="0.3">
      <c r="A49" s="6" t="s">
        <v>185</v>
      </c>
      <c r="B49" s="6" t="s">
        <v>61</v>
      </c>
      <c r="C49" s="6" t="s">
        <v>9</v>
      </c>
      <c r="D49" s="7">
        <v>44942</v>
      </c>
      <c r="E49" s="8">
        <v>0.65625</v>
      </c>
      <c r="F49" s="6" t="s">
        <v>49</v>
      </c>
      <c r="G49" s="6" t="s">
        <v>32</v>
      </c>
      <c r="I49" s="6" t="s">
        <v>30</v>
      </c>
      <c r="J49" s="6" t="s">
        <v>33</v>
      </c>
      <c r="K49" s="6" t="s">
        <v>34</v>
      </c>
      <c r="L49" s="6" t="s">
        <v>24</v>
      </c>
      <c r="M49" s="7">
        <v>30399</v>
      </c>
      <c r="N49" s="6">
        <v>8720989381</v>
      </c>
      <c r="O49" s="6" t="s">
        <v>25</v>
      </c>
      <c r="P49" s="7">
        <v>45096</v>
      </c>
      <c r="Q49" s="6" t="s">
        <v>35</v>
      </c>
      <c r="R49" s="6" t="s">
        <v>36</v>
      </c>
      <c r="S49" s="6" t="s">
        <v>37</v>
      </c>
    </row>
    <row r="50" spans="1:19" x14ac:dyDescent="0.3">
      <c r="A50" s="6" t="s">
        <v>186</v>
      </c>
      <c r="B50" s="6" t="s">
        <v>81</v>
      </c>
      <c r="C50" s="6" t="s">
        <v>69</v>
      </c>
      <c r="D50" s="7">
        <v>45046</v>
      </c>
      <c r="E50" s="8">
        <v>0.64583333333333337</v>
      </c>
      <c r="F50" s="6" t="s">
        <v>31</v>
      </c>
      <c r="G50" s="6" t="s">
        <v>22</v>
      </c>
      <c r="I50" s="6" t="s">
        <v>133</v>
      </c>
      <c r="J50" s="6" t="s">
        <v>63</v>
      </c>
      <c r="K50" s="6" t="s">
        <v>23</v>
      </c>
      <c r="L50" s="6" t="s">
        <v>24</v>
      </c>
      <c r="M50" s="7">
        <v>26629</v>
      </c>
      <c r="N50" s="6">
        <v>7712937941</v>
      </c>
      <c r="O50" s="6" t="s">
        <v>15</v>
      </c>
      <c r="P50" s="7">
        <v>45091</v>
      </c>
      <c r="Q50" s="6" t="s">
        <v>26</v>
      </c>
      <c r="R50" s="6" t="s">
        <v>134</v>
      </c>
      <c r="S50" s="6" t="s">
        <v>135</v>
      </c>
    </row>
    <row r="51" spans="1:19" x14ac:dyDescent="0.3">
      <c r="A51" s="6" t="s">
        <v>187</v>
      </c>
      <c r="B51" s="6" t="s">
        <v>55</v>
      </c>
      <c r="C51" s="6" t="s">
        <v>112</v>
      </c>
      <c r="D51" s="7">
        <v>45154</v>
      </c>
      <c r="E51" s="8">
        <v>0.625</v>
      </c>
      <c r="F51" s="6" t="s">
        <v>31</v>
      </c>
      <c r="G51" s="6" t="s">
        <v>22</v>
      </c>
      <c r="I51" s="6" t="s">
        <v>215</v>
      </c>
      <c r="J51" s="6" t="s">
        <v>98</v>
      </c>
      <c r="K51" s="6" t="s">
        <v>42</v>
      </c>
      <c r="L51" s="6" t="s">
        <v>24</v>
      </c>
      <c r="M51" s="7">
        <v>34330</v>
      </c>
      <c r="N51" s="6">
        <v>8301134730</v>
      </c>
      <c r="O51" s="6" t="s">
        <v>15</v>
      </c>
      <c r="P51" s="7">
        <v>45044</v>
      </c>
      <c r="Q51" s="6" t="s">
        <v>16</v>
      </c>
      <c r="R51" s="6" t="s">
        <v>216</v>
      </c>
      <c r="S51" s="6" t="s">
        <v>217</v>
      </c>
    </row>
    <row r="52" spans="1:19" x14ac:dyDescent="0.3">
      <c r="A52" s="6" t="s">
        <v>188</v>
      </c>
      <c r="B52" s="6" t="s">
        <v>189</v>
      </c>
      <c r="C52" s="6" t="s">
        <v>40</v>
      </c>
      <c r="D52" s="7">
        <v>44961</v>
      </c>
      <c r="E52" s="8">
        <v>0.48958333333333331</v>
      </c>
      <c r="F52" s="6" t="s">
        <v>56</v>
      </c>
      <c r="G52" s="6" t="s">
        <v>82</v>
      </c>
    </row>
    <row r="53" spans="1:19" x14ac:dyDescent="0.3">
      <c r="A53" s="6" t="s">
        <v>192</v>
      </c>
      <c r="B53" s="6" t="s">
        <v>68</v>
      </c>
      <c r="C53" s="6" t="s">
        <v>112</v>
      </c>
      <c r="D53" s="7">
        <v>45119</v>
      </c>
      <c r="E53" s="8">
        <v>0.39583333333333331</v>
      </c>
      <c r="F53" s="6" t="s">
        <v>10</v>
      </c>
      <c r="G53" s="6" t="s">
        <v>22</v>
      </c>
    </row>
    <row r="54" spans="1:19" x14ac:dyDescent="0.3">
      <c r="A54" s="6" t="s">
        <v>193</v>
      </c>
      <c r="B54" s="6" t="s">
        <v>194</v>
      </c>
      <c r="C54" s="6" t="s">
        <v>144</v>
      </c>
      <c r="D54" s="7">
        <v>44969</v>
      </c>
      <c r="E54" s="8">
        <v>0.4375</v>
      </c>
      <c r="F54" s="6" t="s">
        <v>56</v>
      </c>
      <c r="G54" s="6" t="s">
        <v>32</v>
      </c>
    </row>
    <row r="55" spans="1:19" x14ac:dyDescent="0.3">
      <c r="A55" s="6" t="s">
        <v>197</v>
      </c>
      <c r="B55" s="6" t="s">
        <v>68</v>
      </c>
      <c r="C55" s="6" t="s">
        <v>112</v>
      </c>
      <c r="D55" s="7">
        <v>45276</v>
      </c>
      <c r="E55" s="8">
        <v>0.48958333333333331</v>
      </c>
      <c r="F55" s="6" t="s">
        <v>76</v>
      </c>
      <c r="G55" s="6" t="s">
        <v>11</v>
      </c>
    </row>
    <row r="56" spans="1:19" x14ac:dyDescent="0.3">
      <c r="A56" s="6" t="s">
        <v>198</v>
      </c>
      <c r="B56" s="6" t="s">
        <v>199</v>
      </c>
      <c r="C56" s="6" t="s">
        <v>69</v>
      </c>
      <c r="D56" s="7">
        <v>45205</v>
      </c>
      <c r="E56" s="8">
        <v>0.72916666666666663</v>
      </c>
      <c r="F56" s="6" t="s">
        <v>56</v>
      </c>
      <c r="G56" s="6" t="s">
        <v>11</v>
      </c>
    </row>
    <row r="57" spans="1:19" x14ac:dyDescent="0.3">
      <c r="A57" s="6" t="s">
        <v>202</v>
      </c>
      <c r="B57" s="6" t="s">
        <v>133</v>
      </c>
      <c r="C57" s="6" t="s">
        <v>21</v>
      </c>
      <c r="D57" s="7">
        <v>44928</v>
      </c>
      <c r="E57" s="8">
        <v>0.53125</v>
      </c>
      <c r="F57" s="6" t="s">
        <v>56</v>
      </c>
      <c r="G57" s="6" t="s">
        <v>11</v>
      </c>
    </row>
    <row r="58" spans="1:19" x14ac:dyDescent="0.3">
      <c r="A58" s="6" t="s">
        <v>203</v>
      </c>
      <c r="B58" s="6" t="s">
        <v>125</v>
      </c>
      <c r="C58" s="6" t="s">
        <v>69</v>
      </c>
      <c r="D58" s="7">
        <v>45031</v>
      </c>
      <c r="E58" s="8">
        <v>0.73958333333333337</v>
      </c>
      <c r="F58" s="6" t="s">
        <v>49</v>
      </c>
      <c r="G58" s="6" t="s">
        <v>82</v>
      </c>
    </row>
    <row r="59" spans="1:19" x14ac:dyDescent="0.3">
      <c r="A59" s="6" t="s">
        <v>204</v>
      </c>
      <c r="B59" s="6" t="s">
        <v>20</v>
      </c>
      <c r="C59" s="6" t="s">
        <v>112</v>
      </c>
      <c r="D59" s="7">
        <v>45055</v>
      </c>
      <c r="E59" s="8">
        <v>0.55208333333333337</v>
      </c>
      <c r="F59" s="6" t="s">
        <v>31</v>
      </c>
      <c r="G59" s="6" t="s">
        <v>22</v>
      </c>
    </row>
    <row r="60" spans="1:19" x14ac:dyDescent="0.3">
      <c r="A60" s="6" t="s">
        <v>205</v>
      </c>
      <c r="B60" s="6" t="s">
        <v>206</v>
      </c>
      <c r="C60" s="6" t="s">
        <v>69</v>
      </c>
      <c r="D60" s="7">
        <v>44994</v>
      </c>
      <c r="E60" s="8">
        <v>0.64583333333333337</v>
      </c>
      <c r="F60" s="6" t="s">
        <v>10</v>
      </c>
      <c r="G60" s="6" t="s">
        <v>32</v>
      </c>
    </row>
    <row r="61" spans="1:19" x14ac:dyDescent="0.3">
      <c r="A61" s="6" t="s">
        <v>209</v>
      </c>
      <c r="B61" s="6" t="s">
        <v>210</v>
      </c>
      <c r="C61" s="6" t="s">
        <v>97</v>
      </c>
      <c r="D61" s="7">
        <v>45252</v>
      </c>
      <c r="E61" s="8">
        <v>0.71875</v>
      </c>
      <c r="F61" s="6" t="s">
        <v>56</v>
      </c>
      <c r="G61" s="6" t="s">
        <v>22</v>
      </c>
    </row>
    <row r="62" spans="1:19" x14ac:dyDescent="0.3">
      <c r="A62" s="6" t="s">
        <v>212</v>
      </c>
      <c r="B62" s="6" t="s">
        <v>194</v>
      </c>
      <c r="C62" s="6" t="s">
        <v>144</v>
      </c>
      <c r="D62" s="7">
        <v>44941</v>
      </c>
      <c r="E62" s="8">
        <v>0.70833333333333337</v>
      </c>
      <c r="F62" s="6" t="s">
        <v>10</v>
      </c>
      <c r="G62" s="6" t="s">
        <v>22</v>
      </c>
    </row>
    <row r="63" spans="1:19" x14ac:dyDescent="0.3">
      <c r="A63" s="6" t="s">
        <v>213</v>
      </c>
      <c r="B63" s="6" t="s">
        <v>103</v>
      </c>
      <c r="C63" s="6" t="s">
        <v>9</v>
      </c>
      <c r="D63" s="7">
        <v>45091</v>
      </c>
      <c r="E63" s="8">
        <v>0.63541666666666663</v>
      </c>
      <c r="F63" s="6" t="s">
        <v>56</v>
      </c>
      <c r="G63" s="6" t="s">
        <v>22</v>
      </c>
    </row>
    <row r="64" spans="1:19" x14ac:dyDescent="0.3">
      <c r="A64" s="6" t="s">
        <v>214</v>
      </c>
      <c r="B64" s="6" t="s">
        <v>215</v>
      </c>
      <c r="C64" s="6" t="s">
        <v>21</v>
      </c>
      <c r="D64" s="7">
        <v>45106</v>
      </c>
      <c r="E64" s="8">
        <v>0.375</v>
      </c>
      <c r="F64" s="6" t="s">
        <v>76</v>
      </c>
      <c r="G64" s="6" t="s">
        <v>11</v>
      </c>
    </row>
    <row r="65" spans="1:7" x14ac:dyDescent="0.3">
      <c r="A65" s="6" t="s">
        <v>218</v>
      </c>
      <c r="B65" s="6" t="s">
        <v>219</v>
      </c>
      <c r="C65" s="6" t="s">
        <v>40</v>
      </c>
      <c r="D65" s="7">
        <v>45077</v>
      </c>
      <c r="E65" s="8">
        <v>0.35416666666666669</v>
      </c>
      <c r="F65" s="6" t="s">
        <v>56</v>
      </c>
      <c r="G65" s="6" t="s">
        <v>32</v>
      </c>
    </row>
    <row r="66" spans="1:7" x14ac:dyDescent="0.3">
      <c r="A66" s="6" t="s">
        <v>221</v>
      </c>
      <c r="B66" s="6" t="s">
        <v>159</v>
      </c>
      <c r="C66" s="6" t="s">
        <v>119</v>
      </c>
      <c r="D66" s="7">
        <v>45040</v>
      </c>
      <c r="E66" s="8">
        <v>0.65625</v>
      </c>
      <c r="F66" s="6" t="s">
        <v>49</v>
      </c>
      <c r="G66" s="6" t="s">
        <v>32</v>
      </c>
    </row>
    <row r="67" spans="1:7" x14ac:dyDescent="0.3">
      <c r="A67" s="6" t="s">
        <v>222</v>
      </c>
      <c r="B67" s="6" t="s">
        <v>159</v>
      </c>
      <c r="C67" s="6" t="s">
        <v>9</v>
      </c>
      <c r="D67" s="7">
        <v>45056</v>
      </c>
      <c r="E67" s="8">
        <v>0.48958333333333331</v>
      </c>
      <c r="F67" s="6" t="s">
        <v>31</v>
      </c>
      <c r="G67" s="6" t="s">
        <v>22</v>
      </c>
    </row>
    <row r="68" spans="1:7" x14ac:dyDescent="0.3">
      <c r="A68" s="6" t="s">
        <v>223</v>
      </c>
      <c r="B68" s="6" t="s">
        <v>224</v>
      </c>
      <c r="C68" s="6" t="s">
        <v>119</v>
      </c>
      <c r="D68" s="7">
        <v>45148</v>
      </c>
      <c r="E68" s="8">
        <v>0.45833333333333331</v>
      </c>
      <c r="F68" s="6" t="s">
        <v>76</v>
      </c>
      <c r="G68" s="6" t="s">
        <v>11</v>
      </c>
    </row>
    <row r="69" spans="1:7" x14ac:dyDescent="0.3">
      <c r="A69" s="6" t="s">
        <v>227</v>
      </c>
      <c r="B69" s="6" t="s">
        <v>114</v>
      </c>
      <c r="C69" s="6" t="s">
        <v>144</v>
      </c>
      <c r="D69" s="7">
        <v>44999</v>
      </c>
      <c r="E69" s="8">
        <v>0.625</v>
      </c>
      <c r="F69" s="6" t="s">
        <v>56</v>
      </c>
      <c r="G69" s="6" t="s">
        <v>11</v>
      </c>
    </row>
    <row r="70" spans="1:7" x14ac:dyDescent="0.3">
      <c r="A70" s="6" t="s">
        <v>228</v>
      </c>
      <c r="B70" s="6" t="s">
        <v>103</v>
      </c>
      <c r="C70" s="6" t="s">
        <v>21</v>
      </c>
      <c r="D70" s="7">
        <v>45014</v>
      </c>
      <c r="E70" s="8">
        <v>0.64583333333333337</v>
      </c>
      <c r="F70" s="6" t="s">
        <v>10</v>
      </c>
      <c r="G70" s="6" t="s">
        <v>32</v>
      </c>
    </row>
    <row r="71" spans="1:7" x14ac:dyDescent="0.3">
      <c r="A71" s="6" t="s">
        <v>229</v>
      </c>
      <c r="B71" s="6" t="s">
        <v>96</v>
      </c>
      <c r="C71" s="6" t="s">
        <v>48</v>
      </c>
      <c r="D71" s="7">
        <v>45164</v>
      </c>
      <c r="E71" s="8">
        <v>0.70833333333333337</v>
      </c>
      <c r="F71" s="6" t="s">
        <v>76</v>
      </c>
      <c r="G71" s="6" t="s">
        <v>11</v>
      </c>
    </row>
    <row r="72" spans="1:7" x14ac:dyDescent="0.3">
      <c r="A72" s="6" t="s">
        <v>230</v>
      </c>
      <c r="B72" s="6" t="s">
        <v>61</v>
      </c>
      <c r="C72" s="6" t="s">
        <v>40</v>
      </c>
      <c r="D72" s="7">
        <v>44952</v>
      </c>
      <c r="E72" s="8">
        <v>0.70833333333333337</v>
      </c>
      <c r="F72" s="6" t="s">
        <v>76</v>
      </c>
      <c r="G72" s="6" t="s">
        <v>11</v>
      </c>
    </row>
    <row r="73" spans="1:7" x14ac:dyDescent="0.3">
      <c r="A73" s="6" t="s">
        <v>231</v>
      </c>
      <c r="B73" s="6" t="s">
        <v>159</v>
      </c>
      <c r="C73" s="6" t="s">
        <v>97</v>
      </c>
      <c r="D73" s="7">
        <v>45089</v>
      </c>
      <c r="E73" s="8">
        <v>0.5625</v>
      </c>
      <c r="F73" s="6" t="s">
        <v>56</v>
      </c>
      <c r="G73" s="6" t="s">
        <v>11</v>
      </c>
    </row>
    <row r="74" spans="1:7" x14ac:dyDescent="0.3">
      <c r="A74" s="6" t="s">
        <v>232</v>
      </c>
      <c r="B74" s="6" t="s">
        <v>47</v>
      </c>
      <c r="C74" s="6" t="s">
        <v>48</v>
      </c>
      <c r="D74" s="7">
        <v>45284</v>
      </c>
      <c r="E74" s="8">
        <v>0.625</v>
      </c>
      <c r="F74" s="6" t="s">
        <v>76</v>
      </c>
      <c r="G74" s="6" t="s">
        <v>82</v>
      </c>
    </row>
    <row r="75" spans="1:7" x14ac:dyDescent="0.3">
      <c r="A75" s="6" t="s">
        <v>233</v>
      </c>
      <c r="B75" s="6" t="s">
        <v>169</v>
      </c>
      <c r="C75" s="6" t="s">
        <v>144</v>
      </c>
      <c r="D75" s="7">
        <v>45130</v>
      </c>
      <c r="E75" s="8">
        <v>0.5625</v>
      </c>
      <c r="F75" s="6" t="s">
        <v>10</v>
      </c>
      <c r="G75" s="6" t="s">
        <v>22</v>
      </c>
    </row>
    <row r="76" spans="1:7" x14ac:dyDescent="0.3">
      <c r="A76" s="6" t="s">
        <v>234</v>
      </c>
      <c r="B76" s="6" t="s">
        <v>224</v>
      </c>
      <c r="C76" s="6" t="s">
        <v>9</v>
      </c>
      <c r="D76" s="7">
        <v>45054</v>
      </c>
      <c r="E76" s="8">
        <v>0.58333333333333337</v>
      </c>
      <c r="F76" s="6" t="s">
        <v>76</v>
      </c>
      <c r="G76" s="6" t="s">
        <v>32</v>
      </c>
    </row>
    <row r="77" spans="1:7" x14ac:dyDescent="0.3">
      <c r="A77" s="6" t="s">
        <v>235</v>
      </c>
      <c r="B77" s="6" t="s">
        <v>236</v>
      </c>
      <c r="C77" s="6" t="s">
        <v>97</v>
      </c>
      <c r="D77" s="7">
        <v>45257</v>
      </c>
      <c r="E77" s="8">
        <v>0.5</v>
      </c>
      <c r="F77" s="6" t="s">
        <v>10</v>
      </c>
      <c r="G77" s="6" t="s">
        <v>32</v>
      </c>
    </row>
    <row r="78" spans="1:7" x14ac:dyDescent="0.3">
      <c r="A78" s="6" t="s">
        <v>239</v>
      </c>
      <c r="B78" s="6" t="s">
        <v>92</v>
      </c>
      <c r="C78" s="6" t="s">
        <v>69</v>
      </c>
      <c r="D78" s="7">
        <v>45274</v>
      </c>
      <c r="E78" s="8">
        <v>0.71875</v>
      </c>
      <c r="F78" s="6" t="s">
        <v>56</v>
      </c>
      <c r="G78" s="6" t="s">
        <v>82</v>
      </c>
    </row>
    <row r="79" spans="1:7" x14ac:dyDescent="0.3">
      <c r="A79" s="6" t="s">
        <v>240</v>
      </c>
      <c r="B79" s="6" t="s">
        <v>241</v>
      </c>
      <c r="C79" s="6" t="s">
        <v>112</v>
      </c>
      <c r="D79" s="7">
        <v>45186</v>
      </c>
      <c r="E79" s="8">
        <v>0.46875</v>
      </c>
      <c r="F79" s="6" t="s">
        <v>31</v>
      </c>
      <c r="G79" s="6" t="s">
        <v>22</v>
      </c>
    </row>
    <row r="80" spans="1:7" x14ac:dyDescent="0.3">
      <c r="A80" s="6" t="s">
        <v>244</v>
      </c>
      <c r="B80" s="6" t="s">
        <v>103</v>
      </c>
      <c r="C80" s="6" t="s">
        <v>97</v>
      </c>
      <c r="D80" s="7">
        <v>45286</v>
      </c>
      <c r="E80" s="8">
        <v>0.58333333333333337</v>
      </c>
      <c r="F80" s="6" t="s">
        <v>76</v>
      </c>
      <c r="G80" s="6" t="s">
        <v>32</v>
      </c>
    </row>
    <row r="81" spans="1:7" x14ac:dyDescent="0.3">
      <c r="A81" s="6" t="s">
        <v>245</v>
      </c>
      <c r="B81" s="6" t="s">
        <v>175</v>
      </c>
      <c r="C81" s="6" t="s">
        <v>144</v>
      </c>
      <c r="D81" s="7">
        <v>45103</v>
      </c>
      <c r="E81" s="8">
        <v>0.35416666666666669</v>
      </c>
      <c r="F81" s="6" t="s">
        <v>31</v>
      </c>
      <c r="G81" s="6" t="s">
        <v>11</v>
      </c>
    </row>
    <row r="82" spans="1:7" x14ac:dyDescent="0.3">
      <c r="A82" s="6" t="s">
        <v>246</v>
      </c>
      <c r="B82" s="6" t="s">
        <v>141</v>
      </c>
      <c r="C82" s="6" t="s">
        <v>62</v>
      </c>
      <c r="D82" s="7">
        <v>44932</v>
      </c>
      <c r="E82" s="8">
        <v>0.5625</v>
      </c>
      <c r="F82" s="6" t="s">
        <v>10</v>
      </c>
      <c r="G82" s="6" t="s">
        <v>32</v>
      </c>
    </row>
    <row r="83" spans="1:7" x14ac:dyDescent="0.3">
      <c r="A83" s="6" t="s">
        <v>247</v>
      </c>
      <c r="B83" s="6" t="s">
        <v>199</v>
      </c>
      <c r="C83" s="6" t="s">
        <v>112</v>
      </c>
      <c r="D83" s="7">
        <v>44946</v>
      </c>
      <c r="E83" s="8">
        <v>0.44791666666666669</v>
      </c>
      <c r="F83" s="6" t="s">
        <v>76</v>
      </c>
      <c r="G83" s="6" t="s">
        <v>11</v>
      </c>
    </row>
    <row r="84" spans="1:7" x14ac:dyDescent="0.3">
      <c r="A84" s="6" t="s">
        <v>248</v>
      </c>
      <c r="B84" s="6" t="s">
        <v>215</v>
      </c>
      <c r="C84" s="6" t="s">
        <v>119</v>
      </c>
      <c r="D84" s="7">
        <v>45237</v>
      </c>
      <c r="E84" s="8">
        <v>0.52083333333333337</v>
      </c>
      <c r="F84" s="6" t="s">
        <v>49</v>
      </c>
      <c r="G84" s="6" t="s">
        <v>82</v>
      </c>
    </row>
    <row r="85" spans="1:7" x14ac:dyDescent="0.3">
      <c r="A85" s="6" t="s">
        <v>249</v>
      </c>
      <c r="B85" s="6" t="s">
        <v>219</v>
      </c>
      <c r="C85" s="6" t="s">
        <v>40</v>
      </c>
      <c r="D85" s="7">
        <v>45077</v>
      </c>
      <c r="E85" s="8">
        <v>0.66666666666666663</v>
      </c>
      <c r="F85" s="6" t="s">
        <v>31</v>
      </c>
      <c r="G85" s="6" t="s">
        <v>11</v>
      </c>
    </row>
    <row r="86" spans="1:7" x14ac:dyDescent="0.3">
      <c r="A86" s="6" t="s">
        <v>250</v>
      </c>
      <c r="B86" s="6" t="s">
        <v>164</v>
      </c>
      <c r="C86" s="6" t="s">
        <v>119</v>
      </c>
      <c r="D86" s="7">
        <v>44975</v>
      </c>
      <c r="E86" s="8">
        <v>0.67708333333333337</v>
      </c>
      <c r="F86" s="6" t="s">
        <v>76</v>
      </c>
      <c r="G86" s="6" t="s">
        <v>32</v>
      </c>
    </row>
    <row r="87" spans="1:7" x14ac:dyDescent="0.3">
      <c r="A87" s="6" t="s">
        <v>251</v>
      </c>
      <c r="B87" s="6" t="s">
        <v>252</v>
      </c>
      <c r="C87" s="6" t="s">
        <v>97</v>
      </c>
      <c r="D87" s="7">
        <v>45228</v>
      </c>
      <c r="E87" s="8">
        <v>0.45833333333333331</v>
      </c>
      <c r="F87" s="6" t="s">
        <v>31</v>
      </c>
      <c r="G87" s="6" t="s">
        <v>32</v>
      </c>
    </row>
    <row r="88" spans="1:7" x14ac:dyDescent="0.3">
      <c r="A88" s="6" t="s">
        <v>255</v>
      </c>
      <c r="B88" s="6" t="s">
        <v>108</v>
      </c>
      <c r="C88" s="6" t="s">
        <v>119</v>
      </c>
      <c r="D88" s="7">
        <v>45218</v>
      </c>
      <c r="E88" s="8">
        <v>0.51041666666666663</v>
      </c>
      <c r="F88" s="6" t="s">
        <v>76</v>
      </c>
      <c r="G88" s="6" t="s">
        <v>32</v>
      </c>
    </row>
    <row r="89" spans="1:7" x14ac:dyDescent="0.3">
      <c r="A89" s="6" t="s">
        <v>256</v>
      </c>
      <c r="B89" s="6" t="s">
        <v>257</v>
      </c>
      <c r="C89" s="6" t="s">
        <v>144</v>
      </c>
      <c r="D89" s="7">
        <v>45048</v>
      </c>
      <c r="E89" s="8">
        <v>0.6875</v>
      </c>
      <c r="F89" s="6" t="s">
        <v>56</v>
      </c>
      <c r="G89" s="6" t="s">
        <v>82</v>
      </c>
    </row>
    <row r="90" spans="1:7" x14ac:dyDescent="0.3">
      <c r="A90" s="6" t="s">
        <v>260</v>
      </c>
      <c r="B90" s="6" t="s">
        <v>92</v>
      </c>
      <c r="C90" s="6" t="s">
        <v>69</v>
      </c>
      <c r="D90" s="7">
        <v>44971</v>
      </c>
      <c r="E90" s="8">
        <v>0.45833333333333331</v>
      </c>
      <c r="F90" s="6" t="s">
        <v>31</v>
      </c>
      <c r="G90" s="6" t="s">
        <v>82</v>
      </c>
    </row>
    <row r="91" spans="1:7" x14ac:dyDescent="0.3">
      <c r="A91" s="6" t="s">
        <v>261</v>
      </c>
      <c r="B91" s="6" t="s">
        <v>108</v>
      </c>
      <c r="C91" s="6" t="s">
        <v>9</v>
      </c>
      <c r="D91" s="7">
        <v>45078</v>
      </c>
      <c r="E91" s="8">
        <v>0.72916666666666663</v>
      </c>
      <c r="F91" s="6" t="s">
        <v>49</v>
      </c>
      <c r="G91" s="6" t="s">
        <v>22</v>
      </c>
    </row>
    <row r="92" spans="1:7" x14ac:dyDescent="0.3">
      <c r="A92" s="6" t="s">
        <v>262</v>
      </c>
      <c r="B92" s="6" t="s">
        <v>169</v>
      </c>
      <c r="C92" s="6" t="s">
        <v>40</v>
      </c>
      <c r="D92" s="7">
        <v>45088</v>
      </c>
      <c r="E92" s="8">
        <v>0.55208333333333337</v>
      </c>
      <c r="F92" s="6" t="s">
        <v>49</v>
      </c>
      <c r="G92" s="6" t="s">
        <v>32</v>
      </c>
    </row>
    <row r="93" spans="1:7" x14ac:dyDescent="0.3">
      <c r="A93" s="6" t="s">
        <v>263</v>
      </c>
      <c r="B93" s="6" t="s">
        <v>108</v>
      </c>
      <c r="C93" s="6" t="s">
        <v>119</v>
      </c>
      <c r="D93" s="7">
        <v>44956</v>
      </c>
      <c r="E93" s="8">
        <v>0.59375</v>
      </c>
      <c r="F93" s="6" t="s">
        <v>10</v>
      </c>
      <c r="G93" s="6" t="s">
        <v>11</v>
      </c>
    </row>
    <row r="94" spans="1:7" x14ac:dyDescent="0.3">
      <c r="A94" s="6" t="s">
        <v>264</v>
      </c>
      <c r="B94" s="6" t="s">
        <v>8</v>
      </c>
      <c r="C94" s="6" t="s">
        <v>119</v>
      </c>
      <c r="D94" s="7">
        <v>45025</v>
      </c>
      <c r="E94" s="8">
        <v>0.39583333333333331</v>
      </c>
      <c r="F94" s="6" t="s">
        <v>76</v>
      </c>
      <c r="G94" s="6" t="s">
        <v>82</v>
      </c>
    </row>
    <row r="95" spans="1:7" x14ac:dyDescent="0.3">
      <c r="A95" s="6" t="s">
        <v>265</v>
      </c>
      <c r="B95" s="6" t="s">
        <v>266</v>
      </c>
      <c r="C95" s="6" t="s">
        <v>97</v>
      </c>
      <c r="D95" s="7">
        <v>45024</v>
      </c>
      <c r="E95" s="8">
        <v>0.36458333333333331</v>
      </c>
      <c r="F95" s="6" t="s">
        <v>31</v>
      </c>
      <c r="G95" s="6" t="s">
        <v>32</v>
      </c>
    </row>
    <row r="96" spans="1:7" x14ac:dyDescent="0.3">
      <c r="A96" s="6" t="s">
        <v>268</v>
      </c>
      <c r="B96" s="6" t="s">
        <v>269</v>
      </c>
      <c r="C96" s="6" t="s">
        <v>9</v>
      </c>
      <c r="D96" s="7">
        <v>45055</v>
      </c>
      <c r="E96" s="8">
        <v>0.42708333333333331</v>
      </c>
      <c r="F96" s="6" t="s">
        <v>10</v>
      </c>
      <c r="G96" s="6" t="s">
        <v>32</v>
      </c>
    </row>
    <row r="97" spans="1:7" x14ac:dyDescent="0.3">
      <c r="A97" s="6" t="s">
        <v>272</v>
      </c>
      <c r="B97" s="6" t="s">
        <v>189</v>
      </c>
      <c r="C97" s="6" t="s">
        <v>48</v>
      </c>
      <c r="D97" s="7">
        <v>45114</v>
      </c>
      <c r="E97" s="8">
        <v>0.625</v>
      </c>
      <c r="F97" s="6" t="s">
        <v>31</v>
      </c>
      <c r="G97" s="6" t="s">
        <v>82</v>
      </c>
    </row>
    <row r="98" spans="1:7" x14ac:dyDescent="0.3">
      <c r="A98" s="6" t="s">
        <v>273</v>
      </c>
      <c r="B98" s="6" t="s">
        <v>215</v>
      </c>
      <c r="C98" s="6" t="s">
        <v>119</v>
      </c>
      <c r="D98" s="7">
        <v>45052</v>
      </c>
      <c r="E98" s="8">
        <v>0.61458333333333337</v>
      </c>
      <c r="F98" s="6" t="s">
        <v>76</v>
      </c>
      <c r="G98" s="6" t="s">
        <v>22</v>
      </c>
    </row>
    <row r="99" spans="1:7" x14ac:dyDescent="0.3">
      <c r="A99" s="6" t="s">
        <v>274</v>
      </c>
      <c r="B99" s="6" t="s">
        <v>55</v>
      </c>
      <c r="C99" s="6" t="s">
        <v>144</v>
      </c>
      <c r="D99" s="7">
        <v>45002</v>
      </c>
      <c r="E99" s="8">
        <v>0.54166666666666663</v>
      </c>
      <c r="F99" s="6" t="s">
        <v>49</v>
      </c>
      <c r="G99" s="6" t="s">
        <v>82</v>
      </c>
    </row>
    <row r="100" spans="1:7" x14ac:dyDescent="0.3">
      <c r="A100" s="6" t="s">
        <v>275</v>
      </c>
      <c r="B100" s="6" t="s">
        <v>276</v>
      </c>
      <c r="C100" s="6" t="s">
        <v>62</v>
      </c>
      <c r="D100" s="7">
        <v>45111</v>
      </c>
      <c r="E100" s="8">
        <v>0.625</v>
      </c>
      <c r="F100" s="6" t="s">
        <v>56</v>
      </c>
      <c r="G100" s="6" t="s">
        <v>82</v>
      </c>
    </row>
    <row r="101" spans="1:7" x14ac:dyDescent="0.3">
      <c r="A101" s="6" t="s">
        <v>279</v>
      </c>
      <c r="B101" s="6" t="s">
        <v>92</v>
      </c>
      <c r="C101" s="6" t="s">
        <v>40</v>
      </c>
      <c r="D101" s="7">
        <v>44987</v>
      </c>
      <c r="E101" s="8">
        <v>0.33333333333333331</v>
      </c>
      <c r="F101" s="6" t="s">
        <v>49</v>
      </c>
      <c r="G101" s="6" t="s">
        <v>11</v>
      </c>
    </row>
    <row r="102" spans="1:7" x14ac:dyDescent="0.3">
      <c r="A102" s="6" t="s">
        <v>280</v>
      </c>
      <c r="B102" s="6" t="s">
        <v>156</v>
      </c>
      <c r="C102" s="6" t="s">
        <v>119</v>
      </c>
      <c r="D102" s="7">
        <v>45190</v>
      </c>
      <c r="E102" s="8">
        <v>0.55208333333333337</v>
      </c>
      <c r="F102" s="6" t="s">
        <v>10</v>
      </c>
      <c r="G102" s="6" t="s">
        <v>11</v>
      </c>
    </row>
    <row r="103" spans="1:7" x14ac:dyDescent="0.3">
      <c r="A103" s="6" t="s">
        <v>281</v>
      </c>
      <c r="B103" s="6" t="s">
        <v>39</v>
      </c>
      <c r="C103" s="6" t="s">
        <v>144</v>
      </c>
      <c r="D103" s="7">
        <v>45224</v>
      </c>
      <c r="E103" s="8">
        <v>0.375</v>
      </c>
      <c r="F103" s="6" t="s">
        <v>56</v>
      </c>
      <c r="G103" s="6" t="s">
        <v>22</v>
      </c>
    </row>
    <row r="104" spans="1:7" x14ac:dyDescent="0.3">
      <c r="A104" s="6" t="s">
        <v>282</v>
      </c>
      <c r="B104" s="6" t="s">
        <v>151</v>
      </c>
      <c r="C104" s="6" t="s">
        <v>144</v>
      </c>
      <c r="D104" s="7">
        <v>44950</v>
      </c>
      <c r="E104" s="8">
        <v>0.35416666666666669</v>
      </c>
      <c r="F104" s="6" t="s">
        <v>10</v>
      </c>
      <c r="G104" s="6" t="s">
        <v>32</v>
      </c>
    </row>
    <row r="105" spans="1:7" x14ac:dyDescent="0.3">
      <c r="A105" s="6" t="s">
        <v>283</v>
      </c>
      <c r="B105" s="6" t="s">
        <v>156</v>
      </c>
      <c r="C105" s="6" t="s">
        <v>40</v>
      </c>
      <c r="D105" s="7">
        <v>45034</v>
      </c>
      <c r="E105" s="8">
        <v>0.36458333333333331</v>
      </c>
      <c r="F105" s="6" t="s">
        <v>76</v>
      </c>
      <c r="G105" s="6" t="s">
        <v>82</v>
      </c>
    </row>
    <row r="106" spans="1:7" x14ac:dyDescent="0.3">
      <c r="A106" s="6" t="s">
        <v>284</v>
      </c>
      <c r="B106" s="6" t="s">
        <v>169</v>
      </c>
      <c r="C106" s="6" t="s">
        <v>48</v>
      </c>
      <c r="D106" s="7">
        <v>45152</v>
      </c>
      <c r="E106" s="8">
        <v>0.66666666666666663</v>
      </c>
      <c r="F106" s="6" t="s">
        <v>56</v>
      </c>
      <c r="G106" s="6" t="s">
        <v>22</v>
      </c>
    </row>
    <row r="107" spans="1:7" x14ac:dyDescent="0.3">
      <c r="A107" s="6" t="s">
        <v>285</v>
      </c>
      <c r="B107" s="6" t="s">
        <v>114</v>
      </c>
      <c r="C107" s="6" t="s">
        <v>144</v>
      </c>
      <c r="D107" s="7">
        <v>45228</v>
      </c>
      <c r="E107" s="8">
        <v>0.46875</v>
      </c>
      <c r="F107" s="6" t="s">
        <v>10</v>
      </c>
      <c r="G107" s="6" t="s">
        <v>11</v>
      </c>
    </row>
    <row r="108" spans="1:7" x14ac:dyDescent="0.3">
      <c r="A108" s="6" t="s">
        <v>286</v>
      </c>
      <c r="B108" s="6" t="s">
        <v>287</v>
      </c>
      <c r="C108" s="6" t="s">
        <v>62</v>
      </c>
      <c r="D108" s="7">
        <v>45033</v>
      </c>
      <c r="E108" s="8">
        <v>0.57291666666666663</v>
      </c>
      <c r="F108" s="6" t="s">
        <v>76</v>
      </c>
      <c r="G108" s="6" t="s">
        <v>82</v>
      </c>
    </row>
    <row r="109" spans="1:7" x14ac:dyDescent="0.3">
      <c r="A109" s="6" t="s">
        <v>289</v>
      </c>
      <c r="B109" s="6" t="s">
        <v>194</v>
      </c>
      <c r="C109" s="6" t="s">
        <v>144</v>
      </c>
      <c r="D109" s="7">
        <v>45037</v>
      </c>
      <c r="E109" s="8">
        <v>0.625</v>
      </c>
      <c r="F109" s="6" t="s">
        <v>49</v>
      </c>
      <c r="G109" s="6" t="s">
        <v>32</v>
      </c>
    </row>
    <row r="110" spans="1:7" x14ac:dyDescent="0.3">
      <c r="A110" s="6" t="s">
        <v>290</v>
      </c>
      <c r="B110" s="6" t="s">
        <v>219</v>
      </c>
      <c r="C110" s="6" t="s">
        <v>144</v>
      </c>
      <c r="D110" s="7">
        <v>45136</v>
      </c>
      <c r="E110" s="8">
        <v>0.58333333333333337</v>
      </c>
      <c r="F110" s="6" t="s">
        <v>76</v>
      </c>
      <c r="G110" s="6" t="s">
        <v>11</v>
      </c>
    </row>
    <row r="111" spans="1:7" x14ac:dyDescent="0.3">
      <c r="A111" s="6" t="s">
        <v>291</v>
      </c>
      <c r="B111" s="6" t="s">
        <v>133</v>
      </c>
      <c r="C111" s="6" t="s">
        <v>144</v>
      </c>
      <c r="D111" s="7">
        <v>45126</v>
      </c>
      <c r="E111" s="8">
        <v>0.60416666666666663</v>
      </c>
      <c r="F111" s="6" t="s">
        <v>31</v>
      </c>
      <c r="G111" s="6" t="s">
        <v>11</v>
      </c>
    </row>
    <row r="112" spans="1:7" x14ac:dyDescent="0.3">
      <c r="A112" s="6" t="s">
        <v>292</v>
      </c>
      <c r="B112" s="6" t="s">
        <v>219</v>
      </c>
      <c r="C112" s="6" t="s">
        <v>69</v>
      </c>
      <c r="D112" s="7">
        <v>45068</v>
      </c>
      <c r="E112" s="8">
        <v>0.64583333333333337</v>
      </c>
      <c r="F112" s="6" t="s">
        <v>76</v>
      </c>
      <c r="G112" s="6" t="s">
        <v>11</v>
      </c>
    </row>
    <row r="113" spans="1:7" x14ac:dyDescent="0.3">
      <c r="A113" s="6" t="s">
        <v>293</v>
      </c>
      <c r="B113" s="6" t="s">
        <v>30</v>
      </c>
      <c r="C113" s="6" t="s">
        <v>69</v>
      </c>
      <c r="D113" s="7">
        <v>44937</v>
      </c>
      <c r="E113" s="8">
        <v>0.33333333333333331</v>
      </c>
      <c r="F113" s="6" t="s">
        <v>76</v>
      </c>
      <c r="G113" s="6" t="s">
        <v>22</v>
      </c>
    </row>
    <row r="114" spans="1:7" x14ac:dyDescent="0.3">
      <c r="A114" s="6" t="s">
        <v>294</v>
      </c>
      <c r="B114" s="6" t="s">
        <v>156</v>
      </c>
      <c r="C114" s="6" t="s">
        <v>48</v>
      </c>
      <c r="D114" s="7">
        <v>45254</v>
      </c>
      <c r="E114" s="8">
        <v>0.64583333333333337</v>
      </c>
      <c r="F114" s="6" t="s">
        <v>31</v>
      </c>
      <c r="G114" s="6" t="s">
        <v>32</v>
      </c>
    </row>
    <row r="115" spans="1:7" x14ac:dyDescent="0.3">
      <c r="A115" s="6" t="s">
        <v>295</v>
      </c>
      <c r="B115" s="6" t="s">
        <v>296</v>
      </c>
      <c r="C115" s="6" t="s">
        <v>119</v>
      </c>
      <c r="D115" s="7">
        <v>45146</v>
      </c>
      <c r="E115" s="8">
        <v>0.375</v>
      </c>
      <c r="F115" s="6" t="s">
        <v>10</v>
      </c>
      <c r="G115" s="6" t="s">
        <v>82</v>
      </c>
    </row>
    <row r="116" spans="1:7" x14ac:dyDescent="0.3">
      <c r="A116" s="6" t="s">
        <v>298</v>
      </c>
      <c r="B116" s="6" t="s">
        <v>133</v>
      </c>
      <c r="C116" s="6" t="s">
        <v>144</v>
      </c>
      <c r="D116" s="7">
        <v>45224</v>
      </c>
      <c r="E116" s="8">
        <v>0.4375</v>
      </c>
      <c r="F116" s="6" t="s">
        <v>10</v>
      </c>
      <c r="G116" s="6" t="s">
        <v>22</v>
      </c>
    </row>
    <row r="117" spans="1:7" x14ac:dyDescent="0.3">
      <c r="A117" s="6" t="s">
        <v>299</v>
      </c>
      <c r="B117" s="6" t="s">
        <v>75</v>
      </c>
      <c r="C117" s="6" t="s">
        <v>9</v>
      </c>
      <c r="D117" s="7">
        <v>45114</v>
      </c>
      <c r="E117" s="8">
        <v>0.38541666666666669</v>
      </c>
      <c r="F117" s="6" t="s">
        <v>76</v>
      </c>
      <c r="G117" s="6" t="s">
        <v>22</v>
      </c>
    </row>
    <row r="118" spans="1:7" x14ac:dyDescent="0.3">
      <c r="A118" s="6" t="s">
        <v>300</v>
      </c>
      <c r="B118" s="6" t="s">
        <v>20</v>
      </c>
      <c r="C118" s="6" t="s">
        <v>119</v>
      </c>
      <c r="D118" s="7">
        <v>45097</v>
      </c>
      <c r="E118" s="8">
        <v>0.57291666666666663</v>
      </c>
      <c r="F118" s="6" t="s">
        <v>31</v>
      </c>
      <c r="G118" s="6" t="s">
        <v>22</v>
      </c>
    </row>
    <row r="119" spans="1:7" x14ac:dyDescent="0.3">
      <c r="A119" s="6" t="s">
        <v>301</v>
      </c>
      <c r="B119" s="6" t="s">
        <v>194</v>
      </c>
      <c r="C119" s="6" t="s">
        <v>48</v>
      </c>
      <c r="D119" s="7">
        <v>45147</v>
      </c>
      <c r="E119" s="8">
        <v>0.34375</v>
      </c>
      <c r="F119" s="6" t="s">
        <v>31</v>
      </c>
      <c r="G119" s="6" t="s">
        <v>11</v>
      </c>
    </row>
    <row r="120" spans="1:7" x14ac:dyDescent="0.3">
      <c r="A120" s="6" t="s">
        <v>302</v>
      </c>
      <c r="B120" s="6" t="s">
        <v>164</v>
      </c>
      <c r="C120" s="6" t="s">
        <v>21</v>
      </c>
      <c r="D120" s="7">
        <v>45278</v>
      </c>
      <c r="E120" s="8">
        <v>0.5625</v>
      </c>
      <c r="F120" s="6" t="s">
        <v>49</v>
      </c>
      <c r="G120" s="6" t="s">
        <v>32</v>
      </c>
    </row>
    <row r="121" spans="1:7" x14ac:dyDescent="0.3">
      <c r="A121" s="6" t="s">
        <v>303</v>
      </c>
      <c r="B121" s="6" t="s">
        <v>20</v>
      </c>
      <c r="C121" s="6" t="s">
        <v>119</v>
      </c>
      <c r="D121" s="7">
        <v>45268</v>
      </c>
      <c r="E121" s="8">
        <v>0.45833333333333331</v>
      </c>
      <c r="F121" s="6" t="s">
        <v>10</v>
      </c>
      <c r="G121" s="6" t="s">
        <v>22</v>
      </c>
    </row>
    <row r="122" spans="1:7" x14ac:dyDescent="0.3">
      <c r="A122" s="6" t="s">
        <v>304</v>
      </c>
      <c r="B122" s="6" t="s">
        <v>114</v>
      </c>
      <c r="C122" s="6" t="s">
        <v>119</v>
      </c>
      <c r="D122" s="7">
        <v>45023</v>
      </c>
      <c r="E122" s="8">
        <v>0.625</v>
      </c>
      <c r="F122" s="6" t="s">
        <v>56</v>
      </c>
      <c r="G122" s="6" t="s">
        <v>82</v>
      </c>
    </row>
    <row r="123" spans="1:7" x14ac:dyDescent="0.3">
      <c r="A123" s="6" t="s">
        <v>305</v>
      </c>
      <c r="B123" s="6" t="s">
        <v>103</v>
      </c>
      <c r="C123" s="6" t="s">
        <v>112</v>
      </c>
      <c r="D123" s="7">
        <v>45118</v>
      </c>
      <c r="E123" s="8">
        <v>0.60416666666666663</v>
      </c>
      <c r="F123" s="6" t="s">
        <v>10</v>
      </c>
      <c r="G123" s="6" t="s">
        <v>32</v>
      </c>
    </row>
    <row r="124" spans="1:7" x14ac:dyDescent="0.3">
      <c r="A124" s="6" t="s">
        <v>306</v>
      </c>
      <c r="B124" s="6" t="s">
        <v>133</v>
      </c>
      <c r="C124" s="6" t="s">
        <v>97</v>
      </c>
      <c r="D124" s="7">
        <v>44985</v>
      </c>
      <c r="E124" s="8">
        <v>0.44791666666666669</v>
      </c>
      <c r="F124" s="6" t="s">
        <v>10</v>
      </c>
      <c r="G124" s="6" t="s">
        <v>82</v>
      </c>
    </row>
    <row r="125" spans="1:7" x14ac:dyDescent="0.3">
      <c r="A125" s="6" t="s">
        <v>307</v>
      </c>
      <c r="B125" s="6" t="s">
        <v>241</v>
      </c>
      <c r="C125" s="6" t="s">
        <v>112</v>
      </c>
      <c r="D125" s="7">
        <v>45001</v>
      </c>
      <c r="E125" s="8">
        <v>0.71875</v>
      </c>
      <c r="F125" s="6" t="s">
        <v>49</v>
      </c>
      <c r="G125" s="6" t="s">
        <v>32</v>
      </c>
    </row>
    <row r="126" spans="1:7" x14ac:dyDescent="0.3">
      <c r="A126" s="6" t="s">
        <v>308</v>
      </c>
      <c r="B126" s="6" t="s">
        <v>164</v>
      </c>
      <c r="C126" s="6" t="s">
        <v>62</v>
      </c>
      <c r="D126" s="7">
        <v>44975</v>
      </c>
      <c r="E126" s="8">
        <v>0.42708333333333331</v>
      </c>
      <c r="F126" s="6" t="s">
        <v>56</v>
      </c>
      <c r="G126" s="6" t="s">
        <v>82</v>
      </c>
    </row>
    <row r="127" spans="1:7" x14ac:dyDescent="0.3">
      <c r="A127" s="6" t="s">
        <v>309</v>
      </c>
      <c r="B127" s="6" t="s">
        <v>39</v>
      </c>
      <c r="C127" s="6" t="s">
        <v>69</v>
      </c>
      <c r="D127" s="7">
        <v>45232</v>
      </c>
      <c r="E127" s="8">
        <v>0.40625</v>
      </c>
      <c r="F127" s="6" t="s">
        <v>49</v>
      </c>
      <c r="G127" s="6" t="s">
        <v>11</v>
      </c>
    </row>
    <row r="128" spans="1:7" x14ac:dyDescent="0.3">
      <c r="A128" s="6" t="s">
        <v>310</v>
      </c>
      <c r="B128" s="6" t="s">
        <v>219</v>
      </c>
      <c r="C128" s="6" t="s">
        <v>69</v>
      </c>
      <c r="D128" s="7">
        <v>45243</v>
      </c>
      <c r="E128" s="8">
        <v>0.35416666666666669</v>
      </c>
      <c r="F128" s="6" t="s">
        <v>56</v>
      </c>
      <c r="G128" s="6" t="s">
        <v>22</v>
      </c>
    </row>
    <row r="129" spans="1:7" x14ac:dyDescent="0.3">
      <c r="A129" s="6" t="s">
        <v>311</v>
      </c>
      <c r="B129" s="6" t="s">
        <v>266</v>
      </c>
      <c r="C129" s="6" t="s">
        <v>97</v>
      </c>
      <c r="D129" s="7">
        <v>45031</v>
      </c>
      <c r="E129" s="8">
        <v>0.61458333333333337</v>
      </c>
      <c r="F129" s="6" t="s">
        <v>76</v>
      </c>
      <c r="G129" s="6" t="s">
        <v>82</v>
      </c>
    </row>
    <row r="130" spans="1:7" x14ac:dyDescent="0.3">
      <c r="A130" s="6" t="s">
        <v>312</v>
      </c>
      <c r="B130" s="6" t="s">
        <v>137</v>
      </c>
      <c r="C130" s="6" t="s">
        <v>40</v>
      </c>
      <c r="D130" s="7">
        <v>45163</v>
      </c>
      <c r="E130" s="8">
        <v>0.39583333333333331</v>
      </c>
      <c r="F130" s="6" t="s">
        <v>56</v>
      </c>
      <c r="G130" s="6" t="s">
        <v>32</v>
      </c>
    </row>
    <row r="131" spans="1:7" x14ac:dyDescent="0.3">
      <c r="A131" s="6" t="s">
        <v>313</v>
      </c>
      <c r="B131" s="6" t="s">
        <v>252</v>
      </c>
      <c r="C131" s="6" t="s">
        <v>40</v>
      </c>
      <c r="D131" s="7">
        <v>44980</v>
      </c>
      <c r="E131" s="8">
        <v>0.625</v>
      </c>
      <c r="F131" s="6" t="s">
        <v>49</v>
      </c>
      <c r="G131" s="6" t="s">
        <v>22</v>
      </c>
    </row>
    <row r="132" spans="1:7" x14ac:dyDescent="0.3">
      <c r="A132" s="6" t="s">
        <v>314</v>
      </c>
      <c r="B132" s="6" t="s">
        <v>133</v>
      </c>
      <c r="C132" s="6" t="s">
        <v>48</v>
      </c>
      <c r="D132" s="7">
        <v>45057</v>
      </c>
      <c r="E132" s="8">
        <v>0.6875</v>
      </c>
      <c r="F132" s="6" t="s">
        <v>10</v>
      </c>
      <c r="G132" s="6" t="s">
        <v>22</v>
      </c>
    </row>
    <row r="133" spans="1:7" x14ac:dyDescent="0.3">
      <c r="A133" s="6" t="s">
        <v>315</v>
      </c>
      <c r="B133" s="6" t="s">
        <v>210</v>
      </c>
      <c r="C133" s="6" t="s">
        <v>97</v>
      </c>
      <c r="D133" s="7">
        <v>45133</v>
      </c>
      <c r="E133" s="8">
        <v>0.44791666666666669</v>
      </c>
      <c r="F133" s="6" t="s">
        <v>56</v>
      </c>
      <c r="G133" s="6" t="s">
        <v>32</v>
      </c>
    </row>
    <row r="134" spans="1:7" x14ac:dyDescent="0.3">
      <c r="A134" s="6" t="s">
        <v>316</v>
      </c>
      <c r="B134" s="6" t="s">
        <v>30</v>
      </c>
      <c r="C134" s="6" t="s">
        <v>119</v>
      </c>
      <c r="D134" s="7">
        <v>45008</v>
      </c>
      <c r="E134" s="8">
        <v>0.60416666666666663</v>
      </c>
      <c r="F134" s="6" t="s">
        <v>56</v>
      </c>
      <c r="G134" s="6" t="s">
        <v>82</v>
      </c>
    </row>
    <row r="135" spans="1:7" x14ac:dyDescent="0.3">
      <c r="A135" s="6" t="s">
        <v>317</v>
      </c>
      <c r="B135" s="6" t="s">
        <v>39</v>
      </c>
      <c r="C135" s="6" t="s">
        <v>40</v>
      </c>
      <c r="D135" s="7">
        <v>45216</v>
      </c>
      <c r="E135" s="8">
        <v>0.63541666666666663</v>
      </c>
      <c r="F135" s="6" t="s">
        <v>31</v>
      </c>
      <c r="G135" s="6" t="s">
        <v>11</v>
      </c>
    </row>
    <row r="136" spans="1:7" x14ac:dyDescent="0.3">
      <c r="A136" s="6" t="s">
        <v>318</v>
      </c>
      <c r="B136" s="6" t="s">
        <v>86</v>
      </c>
      <c r="C136" s="6" t="s">
        <v>144</v>
      </c>
      <c r="D136" s="7">
        <v>45178</v>
      </c>
      <c r="E136" s="8">
        <v>0.6875</v>
      </c>
      <c r="F136" s="6" t="s">
        <v>10</v>
      </c>
      <c r="G136" s="6" t="s">
        <v>11</v>
      </c>
    </row>
    <row r="137" spans="1:7" x14ac:dyDescent="0.3">
      <c r="A137" s="6" t="s">
        <v>319</v>
      </c>
      <c r="B137" s="6" t="s">
        <v>241</v>
      </c>
      <c r="C137" s="6" t="s">
        <v>9</v>
      </c>
      <c r="D137" s="7">
        <v>45059</v>
      </c>
      <c r="E137" s="8">
        <v>0.52083333333333337</v>
      </c>
      <c r="F137" s="6" t="s">
        <v>76</v>
      </c>
      <c r="G137" s="6" t="s">
        <v>82</v>
      </c>
    </row>
    <row r="138" spans="1:7" x14ac:dyDescent="0.3">
      <c r="A138" s="6" t="s">
        <v>320</v>
      </c>
      <c r="B138" s="6" t="s">
        <v>180</v>
      </c>
      <c r="C138" s="6" t="s">
        <v>119</v>
      </c>
      <c r="D138" s="7">
        <v>45224</v>
      </c>
      <c r="E138" s="8">
        <v>0.41666666666666669</v>
      </c>
      <c r="F138" s="6" t="s">
        <v>49</v>
      </c>
      <c r="G138" s="6" t="s">
        <v>22</v>
      </c>
    </row>
    <row r="139" spans="1:7" x14ac:dyDescent="0.3">
      <c r="A139" s="6" t="s">
        <v>321</v>
      </c>
      <c r="B139" s="6" t="s">
        <v>133</v>
      </c>
      <c r="C139" s="6" t="s">
        <v>62</v>
      </c>
      <c r="D139" s="7">
        <v>45286</v>
      </c>
      <c r="E139" s="8">
        <v>0.63541666666666663</v>
      </c>
      <c r="F139" s="6" t="s">
        <v>76</v>
      </c>
      <c r="G139" s="6" t="s">
        <v>22</v>
      </c>
    </row>
    <row r="140" spans="1:7" x14ac:dyDescent="0.3">
      <c r="A140" s="6" t="s">
        <v>322</v>
      </c>
      <c r="B140" s="6" t="s">
        <v>156</v>
      </c>
      <c r="C140" s="6" t="s">
        <v>144</v>
      </c>
      <c r="D140" s="7">
        <v>45209</v>
      </c>
      <c r="E140" s="8">
        <v>0.44791666666666669</v>
      </c>
      <c r="F140" s="6" t="s">
        <v>10</v>
      </c>
      <c r="G140" s="6" t="s">
        <v>22</v>
      </c>
    </row>
    <row r="141" spans="1:7" x14ac:dyDescent="0.3">
      <c r="A141" s="6" t="s">
        <v>323</v>
      </c>
      <c r="B141" s="6" t="s">
        <v>103</v>
      </c>
      <c r="C141" s="6" t="s">
        <v>144</v>
      </c>
      <c r="D141" s="7">
        <v>44962</v>
      </c>
      <c r="E141" s="8">
        <v>0.63541666666666663</v>
      </c>
      <c r="F141" s="6" t="s">
        <v>56</v>
      </c>
      <c r="G141" s="6" t="s">
        <v>22</v>
      </c>
    </row>
    <row r="142" spans="1:7" x14ac:dyDescent="0.3">
      <c r="A142" s="6" t="s">
        <v>324</v>
      </c>
      <c r="B142" s="6" t="s">
        <v>266</v>
      </c>
      <c r="C142" s="6" t="s">
        <v>97</v>
      </c>
      <c r="D142" s="7">
        <v>45092</v>
      </c>
      <c r="E142" s="8">
        <v>0.63541666666666663</v>
      </c>
      <c r="F142" s="6" t="s">
        <v>56</v>
      </c>
      <c r="G142" s="6" t="s">
        <v>82</v>
      </c>
    </row>
    <row r="143" spans="1:7" x14ac:dyDescent="0.3">
      <c r="A143" s="6" t="s">
        <v>325</v>
      </c>
      <c r="B143" s="6" t="s">
        <v>180</v>
      </c>
      <c r="C143" s="6" t="s">
        <v>48</v>
      </c>
      <c r="D143" s="7">
        <v>45231</v>
      </c>
      <c r="E143" s="8">
        <v>0.48958333333333331</v>
      </c>
      <c r="F143" s="6" t="s">
        <v>10</v>
      </c>
      <c r="G143" s="6" t="s">
        <v>22</v>
      </c>
    </row>
    <row r="144" spans="1:7" x14ac:dyDescent="0.3">
      <c r="A144" s="6" t="s">
        <v>326</v>
      </c>
      <c r="B144" s="6" t="s">
        <v>103</v>
      </c>
      <c r="C144" s="6" t="s">
        <v>62</v>
      </c>
      <c r="D144" s="7">
        <v>45190</v>
      </c>
      <c r="E144" s="8">
        <v>0.51041666666666663</v>
      </c>
      <c r="F144" s="6" t="s">
        <v>56</v>
      </c>
      <c r="G144" s="6" t="s">
        <v>32</v>
      </c>
    </row>
    <row r="145" spans="1:7" x14ac:dyDescent="0.3">
      <c r="A145" s="6" t="s">
        <v>327</v>
      </c>
      <c r="B145" s="6" t="s">
        <v>287</v>
      </c>
      <c r="C145" s="6" t="s">
        <v>40</v>
      </c>
      <c r="D145" s="7">
        <v>45154</v>
      </c>
      <c r="E145" s="8">
        <v>0.51041666666666663</v>
      </c>
      <c r="F145" s="6" t="s">
        <v>56</v>
      </c>
      <c r="G145" s="6" t="s">
        <v>22</v>
      </c>
    </row>
    <row r="146" spans="1:7" x14ac:dyDescent="0.3">
      <c r="A146" s="6" t="s">
        <v>328</v>
      </c>
      <c r="B146" s="6" t="s">
        <v>269</v>
      </c>
      <c r="C146" s="6" t="s">
        <v>97</v>
      </c>
      <c r="D146" s="7">
        <v>45241</v>
      </c>
      <c r="E146" s="8">
        <v>0.61458333333333337</v>
      </c>
      <c r="F146" s="6" t="s">
        <v>56</v>
      </c>
      <c r="G146" s="6" t="s">
        <v>11</v>
      </c>
    </row>
    <row r="147" spans="1:7" x14ac:dyDescent="0.3">
      <c r="A147" s="6" t="s">
        <v>329</v>
      </c>
      <c r="B147" s="6" t="s">
        <v>125</v>
      </c>
      <c r="C147" s="6" t="s">
        <v>40</v>
      </c>
      <c r="D147" s="7">
        <v>44931</v>
      </c>
      <c r="E147" s="8">
        <v>0.39583333333333331</v>
      </c>
      <c r="F147" s="6" t="s">
        <v>49</v>
      </c>
      <c r="G147" s="6" t="s">
        <v>22</v>
      </c>
    </row>
    <row r="148" spans="1:7" x14ac:dyDescent="0.3">
      <c r="A148" s="6" t="s">
        <v>330</v>
      </c>
      <c r="B148" s="6" t="s">
        <v>121</v>
      </c>
      <c r="C148" s="6" t="s">
        <v>97</v>
      </c>
      <c r="D148" s="7">
        <v>45243</v>
      </c>
      <c r="E148" s="8">
        <v>0.72916666666666663</v>
      </c>
      <c r="F148" s="6" t="s">
        <v>49</v>
      </c>
      <c r="G148" s="6" t="s">
        <v>82</v>
      </c>
    </row>
    <row r="149" spans="1:7" x14ac:dyDescent="0.3">
      <c r="A149" s="6" t="s">
        <v>331</v>
      </c>
      <c r="B149" s="6" t="s">
        <v>175</v>
      </c>
      <c r="C149" s="6" t="s">
        <v>97</v>
      </c>
      <c r="D149" s="7">
        <v>45266</v>
      </c>
      <c r="E149" s="8">
        <v>0.35416666666666669</v>
      </c>
      <c r="F149" s="6" t="s">
        <v>31</v>
      </c>
      <c r="G149" s="6" t="s">
        <v>11</v>
      </c>
    </row>
    <row r="150" spans="1:7" x14ac:dyDescent="0.3">
      <c r="A150" s="6" t="s">
        <v>332</v>
      </c>
      <c r="B150" s="6" t="s">
        <v>180</v>
      </c>
      <c r="C150" s="6" t="s">
        <v>97</v>
      </c>
      <c r="D150" s="7">
        <v>45133</v>
      </c>
      <c r="E150" s="8">
        <v>0.52083333333333337</v>
      </c>
      <c r="F150" s="6" t="s">
        <v>76</v>
      </c>
      <c r="G150" s="6" t="s">
        <v>82</v>
      </c>
    </row>
    <row r="151" spans="1:7" x14ac:dyDescent="0.3">
      <c r="A151" s="6" t="s">
        <v>333</v>
      </c>
      <c r="B151" s="6" t="s">
        <v>129</v>
      </c>
      <c r="C151" s="6" t="s">
        <v>48</v>
      </c>
      <c r="D151" s="7">
        <v>45154</v>
      </c>
      <c r="E151" s="8">
        <v>0.44791666666666669</v>
      </c>
      <c r="F151" s="6" t="s">
        <v>10</v>
      </c>
      <c r="G151" s="6" t="s">
        <v>82</v>
      </c>
    </row>
    <row r="152" spans="1:7" x14ac:dyDescent="0.3">
      <c r="A152" s="6" t="s">
        <v>334</v>
      </c>
      <c r="B152" s="6" t="s">
        <v>68</v>
      </c>
      <c r="C152" s="6" t="s">
        <v>97</v>
      </c>
      <c r="D152" s="7">
        <v>44954</v>
      </c>
      <c r="E152" s="8">
        <v>0.38541666666666669</v>
      </c>
      <c r="F152" s="6" t="s">
        <v>10</v>
      </c>
      <c r="G152" s="6" t="s">
        <v>11</v>
      </c>
    </row>
    <row r="153" spans="1:7" x14ac:dyDescent="0.3">
      <c r="A153" s="6" t="s">
        <v>335</v>
      </c>
      <c r="B153" s="6" t="s">
        <v>81</v>
      </c>
      <c r="C153" s="6" t="s">
        <v>21</v>
      </c>
      <c r="D153" s="7">
        <v>45030</v>
      </c>
      <c r="E153" s="8">
        <v>0.35416666666666669</v>
      </c>
      <c r="F153" s="6" t="s">
        <v>10</v>
      </c>
      <c r="G153" s="6" t="s">
        <v>82</v>
      </c>
    </row>
    <row r="154" spans="1:7" x14ac:dyDescent="0.3">
      <c r="A154" s="6" t="s">
        <v>336</v>
      </c>
      <c r="B154" s="6" t="s">
        <v>219</v>
      </c>
      <c r="C154" s="6" t="s">
        <v>9</v>
      </c>
      <c r="D154" s="7">
        <v>45115</v>
      </c>
      <c r="E154" s="8">
        <v>0.53125</v>
      </c>
      <c r="F154" s="6" t="s">
        <v>31</v>
      </c>
      <c r="G154" s="6" t="s">
        <v>82</v>
      </c>
    </row>
    <row r="155" spans="1:7" x14ac:dyDescent="0.3">
      <c r="A155" s="6" t="s">
        <v>337</v>
      </c>
      <c r="B155" s="6" t="s">
        <v>103</v>
      </c>
      <c r="C155" s="6" t="s">
        <v>40</v>
      </c>
      <c r="D155" s="7">
        <v>44991</v>
      </c>
      <c r="E155" s="8">
        <v>0.72916666666666663</v>
      </c>
      <c r="F155" s="6" t="s">
        <v>49</v>
      </c>
      <c r="G155" s="6" t="s">
        <v>22</v>
      </c>
    </row>
    <row r="156" spans="1:7" x14ac:dyDescent="0.3">
      <c r="A156" s="6" t="s">
        <v>338</v>
      </c>
      <c r="B156" s="6" t="s">
        <v>39</v>
      </c>
      <c r="C156" s="6" t="s">
        <v>119</v>
      </c>
      <c r="D156" s="7">
        <v>44929</v>
      </c>
      <c r="E156" s="8">
        <v>0.39583333333333331</v>
      </c>
      <c r="F156" s="6" t="s">
        <v>31</v>
      </c>
      <c r="G156" s="6" t="s">
        <v>32</v>
      </c>
    </row>
    <row r="157" spans="1:7" x14ac:dyDescent="0.3">
      <c r="A157" s="6" t="s">
        <v>339</v>
      </c>
      <c r="B157" s="6" t="s">
        <v>151</v>
      </c>
      <c r="C157" s="6" t="s">
        <v>112</v>
      </c>
      <c r="D157" s="7">
        <v>45252</v>
      </c>
      <c r="E157" s="8">
        <v>0.60416666666666663</v>
      </c>
      <c r="F157" s="6" t="s">
        <v>10</v>
      </c>
      <c r="G157" s="6" t="s">
        <v>82</v>
      </c>
    </row>
    <row r="158" spans="1:7" x14ac:dyDescent="0.3">
      <c r="A158" s="6" t="s">
        <v>340</v>
      </c>
      <c r="B158" s="6" t="s">
        <v>156</v>
      </c>
      <c r="C158" s="6" t="s">
        <v>62</v>
      </c>
      <c r="D158" s="7">
        <v>45058</v>
      </c>
      <c r="E158" s="8">
        <v>0.45833333333333331</v>
      </c>
      <c r="F158" s="6" t="s">
        <v>76</v>
      </c>
      <c r="G158" s="6" t="s">
        <v>82</v>
      </c>
    </row>
    <row r="159" spans="1:7" x14ac:dyDescent="0.3">
      <c r="A159" s="6" t="s">
        <v>341</v>
      </c>
      <c r="B159" s="6" t="s">
        <v>164</v>
      </c>
      <c r="C159" s="6" t="s">
        <v>69</v>
      </c>
      <c r="D159" s="7">
        <v>45119</v>
      </c>
      <c r="E159" s="8">
        <v>0.51041666666666663</v>
      </c>
      <c r="F159" s="6" t="s">
        <v>56</v>
      </c>
      <c r="G159" s="6" t="s">
        <v>82</v>
      </c>
    </row>
    <row r="160" spans="1:7" x14ac:dyDescent="0.3">
      <c r="A160" s="6" t="s">
        <v>342</v>
      </c>
      <c r="B160" s="6" t="s">
        <v>68</v>
      </c>
      <c r="C160" s="6" t="s">
        <v>48</v>
      </c>
      <c r="D160" s="7">
        <v>45024</v>
      </c>
      <c r="E160" s="8">
        <v>0.67708333333333337</v>
      </c>
      <c r="F160" s="6" t="s">
        <v>49</v>
      </c>
      <c r="G160" s="6" t="s">
        <v>22</v>
      </c>
    </row>
    <row r="161" spans="1:7" x14ac:dyDescent="0.3">
      <c r="A161" s="6" t="s">
        <v>343</v>
      </c>
      <c r="B161" s="6" t="s">
        <v>75</v>
      </c>
      <c r="C161" s="6" t="s">
        <v>119</v>
      </c>
      <c r="D161" s="7">
        <v>45277</v>
      </c>
      <c r="E161" s="8">
        <v>0.53125</v>
      </c>
      <c r="F161" s="6" t="s">
        <v>49</v>
      </c>
      <c r="G161" s="6" t="s">
        <v>32</v>
      </c>
    </row>
    <row r="162" spans="1:7" x14ac:dyDescent="0.3">
      <c r="A162" s="6" t="s">
        <v>344</v>
      </c>
      <c r="B162" s="6" t="s">
        <v>55</v>
      </c>
      <c r="C162" s="6" t="s">
        <v>144</v>
      </c>
      <c r="D162" s="7">
        <v>45094</v>
      </c>
      <c r="E162" s="8">
        <v>0.44791666666666669</v>
      </c>
      <c r="F162" s="6" t="s">
        <v>31</v>
      </c>
      <c r="G162" s="6" t="s">
        <v>11</v>
      </c>
    </row>
    <row r="163" spans="1:7" x14ac:dyDescent="0.3">
      <c r="A163" s="6" t="s">
        <v>345</v>
      </c>
      <c r="B163" s="6" t="s">
        <v>346</v>
      </c>
      <c r="C163" s="6" t="s">
        <v>21</v>
      </c>
      <c r="D163" s="7">
        <v>44927</v>
      </c>
      <c r="E163" s="8">
        <v>0.71875</v>
      </c>
      <c r="F163" s="6" t="s">
        <v>49</v>
      </c>
      <c r="G163" s="6" t="s">
        <v>22</v>
      </c>
    </row>
    <row r="164" spans="1:7" x14ac:dyDescent="0.3">
      <c r="A164" s="6" t="s">
        <v>349</v>
      </c>
      <c r="B164" s="6" t="s">
        <v>75</v>
      </c>
      <c r="C164" s="6" t="s">
        <v>69</v>
      </c>
      <c r="D164" s="7">
        <v>45104</v>
      </c>
      <c r="E164" s="8">
        <v>0.625</v>
      </c>
      <c r="F164" s="6" t="s">
        <v>10</v>
      </c>
      <c r="G164" s="6" t="s">
        <v>22</v>
      </c>
    </row>
    <row r="165" spans="1:7" x14ac:dyDescent="0.3">
      <c r="A165" s="6" t="s">
        <v>350</v>
      </c>
      <c r="B165" s="6" t="s">
        <v>121</v>
      </c>
      <c r="C165" s="6" t="s">
        <v>112</v>
      </c>
      <c r="D165" s="7">
        <v>45135</v>
      </c>
      <c r="E165" s="8">
        <v>0.71875</v>
      </c>
      <c r="F165" s="6" t="s">
        <v>10</v>
      </c>
      <c r="G165" s="6" t="s">
        <v>32</v>
      </c>
    </row>
    <row r="166" spans="1:7" x14ac:dyDescent="0.3">
      <c r="A166" s="6" t="s">
        <v>351</v>
      </c>
      <c r="B166" s="6" t="s">
        <v>175</v>
      </c>
      <c r="C166" s="6" t="s">
        <v>119</v>
      </c>
      <c r="D166" s="7">
        <v>45020</v>
      </c>
      <c r="E166" s="8">
        <v>0.64583333333333337</v>
      </c>
      <c r="F166" s="6" t="s">
        <v>31</v>
      </c>
      <c r="G166" s="6" t="s">
        <v>32</v>
      </c>
    </row>
    <row r="167" spans="1:7" x14ac:dyDescent="0.3">
      <c r="A167" s="6" t="s">
        <v>352</v>
      </c>
      <c r="B167" s="6" t="s">
        <v>81</v>
      </c>
      <c r="C167" s="6" t="s">
        <v>69</v>
      </c>
      <c r="D167" s="7">
        <v>44938</v>
      </c>
      <c r="E167" s="8">
        <v>0.61458333333333337</v>
      </c>
      <c r="F167" s="6" t="s">
        <v>10</v>
      </c>
      <c r="G167" s="6" t="s">
        <v>22</v>
      </c>
    </row>
    <row r="168" spans="1:7" x14ac:dyDescent="0.3">
      <c r="A168" s="6" t="s">
        <v>353</v>
      </c>
      <c r="B168" s="6" t="s">
        <v>219</v>
      </c>
      <c r="C168" s="6" t="s">
        <v>119</v>
      </c>
      <c r="D168" s="7">
        <v>45245</v>
      </c>
      <c r="E168" s="8">
        <v>0.34375</v>
      </c>
      <c r="F168" s="6" t="s">
        <v>76</v>
      </c>
      <c r="G168" s="6" t="s">
        <v>11</v>
      </c>
    </row>
    <row r="169" spans="1:7" x14ac:dyDescent="0.3">
      <c r="A169" s="6" t="s">
        <v>354</v>
      </c>
      <c r="B169" s="6" t="s">
        <v>164</v>
      </c>
      <c r="C169" s="6" t="s">
        <v>21</v>
      </c>
      <c r="D169" s="7">
        <v>45198</v>
      </c>
      <c r="E169" s="8">
        <v>0.41666666666666669</v>
      </c>
      <c r="F169" s="6" t="s">
        <v>31</v>
      </c>
      <c r="G169" s="6" t="s">
        <v>22</v>
      </c>
    </row>
    <row r="170" spans="1:7" x14ac:dyDescent="0.3">
      <c r="A170" s="6" t="s">
        <v>355</v>
      </c>
      <c r="B170" s="6" t="s">
        <v>92</v>
      </c>
      <c r="C170" s="6" t="s">
        <v>112</v>
      </c>
      <c r="D170" s="7">
        <v>45131</v>
      </c>
      <c r="E170" s="8">
        <v>0.69791666666666663</v>
      </c>
      <c r="F170" s="6" t="s">
        <v>76</v>
      </c>
      <c r="G170" s="6" t="s">
        <v>32</v>
      </c>
    </row>
    <row r="171" spans="1:7" x14ac:dyDescent="0.3">
      <c r="A171" s="6" t="s">
        <v>356</v>
      </c>
      <c r="B171" s="6" t="s">
        <v>224</v>
      </c>
      <c r="C171" s="6" t="s">
        <v>144</v>
      </c>
      <c r="D171" s="7">
        <v>44988</v>
      </c>
      <c r="E171" s="8">
        <v>0.375</v>
      </c>
      <c r="F171" s="6" t="s">
        <v>56</v>
      </c>
      <c r="G171" s="6" t="s">
        <v>11</v>
      </c>
    </row>
    <row r="172" spans="1:7" x14ac:dyDescent="0.3">
      <c r="A172" s="6" t="s">
        <v>357</v>
      </c>
      <c r="B172" s="6" t="s">
        <v>276</v>
      </c>
      <c r="C172" s="6" t="s">
        <v>97</v>
      </c>
      <c r="D172" s="7">
        <v>45034</v>
      </c>
      <c r="E172" s="8">
        <v>0.6875</v>
      </c>
      <c r="F172" s="6" t="s">
        <v>76</v>
      </c>
      <c r="G172" s="6" t="s">
        <v>32</v>
      </c>
    </row>
    <row r="173" spans="1:7" x14ac:dyDescent="0.3">
      <c r="A173" s="6" t="s">
        <v>358</v>
      </c>
      <c r="B173" s="6" t="s">
        <v>296</v>
      </c>
      <c r="C173" s="6" t="s">
        <v>40</v>
      </c>
      <c r="D173" s="7">
        <v>44994</v>
      </c>
      <c r="E173" s="8">
        <v>0.67708333333333337</v>
      </c>
      <c r="F173" s="6" t="s">
        <v>56</v>
      </c>
      <c r="G173" s="6" t="s">
        <v>11</v>
      </c>
    </row>
    <row r="174" spans="1:7" x14ac:dyDescent="0.3">
      <c r="A174" s="6" t="s">
        <v>359</v>
      </c>
      <c r="B174" s="6" t="s">
        <v>129</v>
      </c>
      <c r="C174" s="6" t="s">
        <v>144</v>
      </c>
      <c r="D174" s="7">
        <v>45081</v>
      </c>
      <c r="E174" s="8">
        <v>0.5625</v>
      </c>
      <c r="F174" s="6" t="s">
        <v>56</v>
      </c>
      <c r="G174" s="6" t="s">
        <v>82</v>
      </c>
    </row>
    <row r="175" spans="1:7" x14ac:dyDescent="0.3">
      <c r="A175" s="6" t="s">
        <v>360</v>
      </c>
      <c r="B175" s="6" t="s">
        <v>103</v>
      </c>
      <c r="C175" s="6" t="s">
        <v>97</v>
      </c>
      <c r="D175" s="7">
        <v>45230</v>
      </c>
      <c r="E175" s="8">
        <v>0.46875</v>
      </c>
      <c r="F175" s="6" t="s">
        <v>76</v>
      </c>
      <c r="G175" s="6" t="s">
        <v>32</v>
      </c>
    </row>
    <row r="176" spans="1:7" x14ac:dyDescent="0.3">
      <c r="A176" s="6" t="s">
        <v>361</v>
      </c>
      <c r="B176" s="6" t="s">
        <v>287</v>
      </c>
      <c r="C176" s="6" t="s">
        <v>48</v>
      </c>
      <c r="D176" s="7">
        <v>45221</v>
      </c>
      <c r="E176" s="8">
        <v>0.70833333333333337</v>
      </c>
      <c r="F176" s="6" t="s">
        <v>31</v>
      </c>
      <c r="G176" s="6" t="s">
        <v>32</v>
      </c>
    </row>
    <row r="177" spans="1:7" x14ac:dyDescent="0.3">
      <c r="A177" s="6" t="s">
        <v>362</v>
      </c>
      <c r="B177" s="6" t="s">
        <v>169</v>
      </c>
      <c r="C177" s="6" t="s">
        <v>9</v>
      </c>
      <c r="D177" s="7">
        <v>45042</v>
      </c>
      <c r="E177" s="8">
        <v>0.39583333333333331</v>
      </c>
      <c r="F177" s="6" t="s">
        <v>10</v>
      </c>
      <c r="G177" s="6" t="s">
        <v>22</v>
      </c>
    </row>
    <row r="178" spans="1:7" x14ac:dyDescent="0.3">
      <c r="A178" s="6" t="s">
        <v>363</v>
      </c>
      <c r="B178" s="6" t="s">
        <v>236</v>
      </c>
      <c r="C178" s="6" t="s">
        <v>62</v>
      </c>
      <c r="D178" s="7">
        <v>45154</v>
      </c>
      <c r="E178" s="8">
        <v>0.52083333333333337</v>
      </c>
      <c r="F178" s="6" t="s">
        <v>10</v>
      </c>
      <c r="G178" s="6" t="s">
        <v>32</v>
      </c>
    </row>
    <row r="179" spans="1:7" x14ac:dyDescent="0.3">
      <c r="A179" s="6" t="s">
        <v>364</v>
      </c>
      <c r="B179" s="6" t="s">
        <v>252</v>
      </c>
      <c r="C179" s="6" t="s">
        <v>62</v>
      </c>
      <c r="D179" s="7">
        <v>44943</v>
      </c>
      <c r="E179" s="8">
        <v>0.55208333333333337</v>
      </c>
      <c r="F179" s="6" t="s">
        <v>56</v>
      </c>
      <c r="G179" s="6" t="s">
        <v>32</v>
      </c>
    </row>
    <row r="180" spans="1:7" x14ac:dyDescent="0.3">
      <c r="A180" s="6" t="s">
        <v>365</v>
      </c>
      <c r="B180" s="6" t="s">
        <v>366</v>
      </c>
      <c r="C180" s="6" t="s">
        <v>40</v>
      </c>
      <c r="D180" s="7">
        <v>44993</v>
      </c>
      <c r="E180" s="8">
        <v>0.51041666666666663</v>
      </c>
      <c r="F180" s="6" t="s">
        <v>56</v>
      </c>
      <c r="G180" s="6" t="s">
        <v>82</v>
      </c>
    </row>
    <row r="181" spans="1:7" x14ac:dyDescent="0.3">
      <c r="A181" s="6" t="s">
        <v>368</v>
      </c>
      <c r="B181" s="6" t="s">
        <v>269</v>
      </c>
      <c r="C181" s="6" t="s">
        <v>112</v>
      </c>
      <c r="D181" s="7">
        <v>44933</v>
      </c>
      <c r="E181" s="8">
        <v>0.45833333333333331</v>
      </c>
      <c r="F181" s="6" t="s">
        <v>31</v>
      </c>
      <c r="G181" s="6" t="s">
        <v>32</v>
      </c>
    </row>
    <row r="182" spans="1:7" x14ac:dyDescent="0.3">
      <c r="A182" s="6" t="s">
        <v>369</v>
      </c>
      <c r="B182" s="6" t="s">
        <v>141</v>
      </c>
      <c r="C182" s="6" t="s">
        <v>21</v>
      </c>
      <c r="D182" s="7">
        <v>45172</v>
      </c>
      <c r="E182" s="8">
        <v>0.55208333333333337</v>
      </c>
      <c r="F182" s="6" t="s">
        <v>49</v>
      </c>
      <c r="G182" s="6" t="s">
        <v>82</v>
      </c>
    </row>
    <row r="183" spans="1:7" x14ac:dyDescent="0.3">
      <c r="A183" s="6" t="s">
        <v>370</v>
      </c>
      <c r="B183" s="6" t="s">
        <v>241</v>
      </c>
      <c r="C183" s="6" t="s">
        <v>112</v>
      </c>
      <c r="D183" s="7">
        <v>45028</v>
      </c>
      <c r="E183" s="8">
        <v>0.33333333333333331</v>
      </c>
      <c r="F183" s="6" t="s">
        <v>76</v>
      </c>
      <c r="G183" s="6" t="s">
        <v>82</v>
      </c>
    </row>
    <row r="184" spans="1:7" x14ac:dyDescent="0.3">
      <c r="A184" s="6" t="s">
        <v>371</v>
      </c>
      <c r="B184" s="6" t="s">
        <v>47</v>
      </c>
      <c r="C184" s="6" t="s">
        <v>21</v>
      </c>
      <c r="D184" s="7">
        <v>44960</v>
      </c>
      <c r="E184" s="8">
        <v>0.67708333333333337</v>
      </c>
      <c r="F184" s="6" t="s">
        <v>56</v>
      </c>
      <c r="G184" s="6" t="s">
        <v>82</v>
      </c>
    </row>
    <row r="185" spans="1:7" x14ac:dyDescent="0.3">
      <c r="A185" s="6" t="s">
        <v>372</v>
      </c>
      <c r="B185" s="6" t="s">
        <v>346</v>
      </c>
      <c r="C185" s="6" t="s">
        <v>112</v>
      </c>
      <c r="D185" s="7">
        <v>44983</v>
      </c>
      <c r="E185" s="8">
        <v>0.73958333333333337</v>
      </c>
      <c r="F185" s="6" t="s">
        <v>10</v>
      </c>
      <c r="G185" s="6" t="s">
        <v>82</v>
      </c>
    </row>
    <row r="186" spans="1:7" x14ac:dyDescent="0.3">
      <c r="A186" s="6" t="s">
        <v>373</v>
      </c>
      <c r="B186" s="6" t="s">
        <v>287</v>
      </c>
      <c r="C186" s="6" t="s">
        <v>9</v>
      </c>
      <c r="D186" s="7">
        <v>45006</v>
      </c>
      <c r="E186" s="8">
        <v>0.58333333333333337</v>
      </c>
      <c r="F186" s="6" t="s">
        <v>31</v>
      </c>
      <c r="G186" s="6" t="s">
        <v>11</v>
      </c>
    </row>
    <row r="187" spans="1:7" x14ac:dyDescent="0.3">
      <c r="A187" s="6" t="s">
        <v>374</v>
      </c>
      <c r="B187" s="6" t="s">
        <v>215</v>
      </c>
      <c r="C187" s="6" t="s">
        <v>48</v>
      </c>
      <c r="D187" s="7">
        <v>45012</v>
      </c>
      <c r="E187" s="8">
        <v>0.71875</v>
      </c>
      <c r="F187" s="6" t="s">
        <v>76</v>
      </c>
      <c r="G187" s="6" t="s">
        <v>22</v>
      </c>
    </row>
    <row r="188" spans="1:7" x14ac:dyDescent="0.3">
      <c r="A188" s="6" t="s">
        <v>375</v>
      </c>
      <c r="B188" s="6" t="s">
        <v>206</v>
      </c>
      <c r="C188" s="6" t="s">
        <v>48</v>
      </c>
      <c r="D188" s="7">
        <v>44970</v>
      </c>
      <c r="E188" s="8">
        <v>0.52083333333333337</v>
      </c>
      <c r="F188" s="6" t="s">
        <v>31</v>
      </c>
      <c r="G188" s="6" t="s">
        <v>11</v>
      </c>
    </row>
    <row r="189" spans="1:7" x14ac:dyDescent="0.3">
      <c r="A189" s="6" t="s">
        <v>376</v>
      </c>
      <c r="B189" s="6" t="s">
        <v>199</v>
      </c>
      <c r="C189" s="6" t="s">
        <v>97</v>
      </c>
      <c r="D189" s="7">
        <v>45028</v>
      </c>
      <c r="E189" s="8">
        <v>0.6875</v>
      </c>
      <c r="F189" s="6" t="s">
        <v>76</v>
      </c>
      <c r="G189" s="6" t="s">
        <v>32</v>
      </c>
    </row>
    <row r="190" spans="1:7" x14ac:dyDescent="0.3">
      <c r="A190" s="6" t="s">
        <v>377</v>
      </c>
      <c r="B190" s="6" t="s">
        <v>81</v>
      </c>
      <c r="C190" s="6" t="s">
        <v>69</v>
      </c>
      <c r="D190" s="7">
        <v>45204</v>
      </c>
      <c r="E190" s="8">
        <v>0.5625</v>
      </c>
      <c r="F190" s="6" t="s">
        <v>76</v>
      </c>
      <c r="G190" s="6" t="s">
        <v>11</v>
      </c>
    </row>
    <row r="191" spans="1:7" x14ac:dyDescent="0.3">
      <c r="A191" s="6" t="s">
        <v>378</v>
      </c>
      <c r="B191" s="6" t="s">
        <v>92</v>
      </c>
      <c r="C191" s="6" t="s">
        <v>48</v>
      </c>
      <c r="D191" s="7">
        <v>45246</v>
      </c>
      <c r="E191" s="8">
        <v>0.63541666666666663</v>
      </c>
      <c r="F191" s="6" t="s">
        <v>56</v>
      </c>
      <c r="G191" s="6" t="s">
        <v>11</v>
      </c>
    </row>
    <row r="192" spans="1:7" x14ac:dyDescent="0.3">
      <c r="A192" s="6" t="s">
        <v>379</v>
      </c>
      <c r="B192" s="6" t="s">
        <v>114</v>
      </c>
      <c r="C192" s="6" t="s">
        <v>48</v>
      </c>
      <c r="D192" s="7">
        <v>45028</v>
      </c>
      <c r="E192" s="8">
        <v>0.66666666666666663</v>
      </c>
      <c r="F192" s="6" t="s">
        <v>31</v>
      </c>
      <c r="G192" s="6" t="s">
        <v>32</v>
      </c>
    </row>
    <row r="193" spans="1:7" x14ac:dyDescent="0.3">
      <c r="A193" s="6" t="s">
        <v>380</v>
      </c>
      <c r="B193" s="6" t="s">
        <v>366</v>
      </c>
      <c r="C193" s="6" t="s">
        <v>144</v>
      </c>
      <c r="D193" s="7">
        <v>45169</v>
      </c>
      <c r="E193" s="8">
        <v>0.59375</v>
      </c>
      <c r="F193" s="6" t="s">
        <v>31</v>
      </c>
      <c r="G193" s="6" t="s">
        <v>32</v>
      </c>
    </row>
    <row r="194" spans="1:7" x14ac:dyDescent="0.3">
      <c r="A194" s="6" t="s">
        <v>381</v>
      </c>
      <c r="B194" s="6" t="s">
        <v>180</v>
      </c>
      <c r="C194" s="6" t="s">
        <v>144</v>
      </c>
      <c r="D194" s="7">
        <v>45184</v>
      </c>
      <c r="E194" s="8">
        <v>0.34375</v>
      </c>
      <c r="F194" s="6" t="s">
        <v>10</v>
      </c>
      <c r="G194" s="6" t="s">
        <v>32</v>
      </c>
    </row>
    <row r="195" spans="1:7" x14ac:dyDescent="0.3">
      <c r="A195" s="6" t="s">
        <v>382</v>
      </c>
      <c r="B195" s="6" t="s">
        <v>257</v>
      </c>
      <c r="C195" s="6" t="s">
        <v>97</v>
      </c>
      <c r="D195" s="7">
        <v>45022</v>
      </c>
      <c r="E195" s="8">
        <v>0.53125</v>
      </c>
      <c r="F195" s="6" t="s">
        <v>10</v>
      </c>
      <c r="G195" s="6" t="s">
        <v>11</v>
      </c>
    </row>
    <row r="196" spans="1:7" x14ac:dyDescent="0.3">
      <c r="A196" s="6" t="s">
        <v>383</v>
      </c>
      <c r="B196" s="6" t="s">
        <v>30</v>
      </c>
      <c r="C196" s="6" t="s">
        <v>69</v>
      </c>
      <c r="D196" s="7">
        <v>45157</v>
      </c>
      <c r="E196" s="8">
        <v>0.71875</v>
      </c>
      <c r="F196" s="6" t="s">
        <v>56</v>
      </c>
      <c r="G196" s="6" t="s">
        <v>11</v>
      </c>
    </row>
    <row r="197" spans="1:7" x14ac:dyDescent="0.3">
      <c r="A197" s="6" t="s">
        <v>384</v>
      </c>
      <c r="B197" s="6" t="s">
        <v>55</v>
      </c>
      <c r="C197" s="6" t="s">
        <v>40</v>
      </c>
      <c r="D197" s="7">
        <v>45225</v>
      </c>
      <c r="E197" s="8">
        <v>0.40625</v>
      </c>
      <c r="F197" s="6" t="s">
        <v>56</v>
      </c>
      <c r="G197" s="6" t="s">
        <v>32</v>
      </c>
    </row>
    <row r="198" spans="1:7" x14ac:dyDescent="0.3">
      <c r="A198" s="6" t="s">
        <v>385</v>
      </c>
      <c r="B198" s="6" t="s">
        <v>61</v>
      </c>
      <c r="C198" s="6" t="s">
        <v>144</v>
      </c>
      <c r="D198" s="7">
        <v>45017</v>
      </c>
      <c r="E198" s="8">
        <v>0.5625</v>
      </c>
      <c r="F198" s="6" t="s">
        <v>49</v>
      </c>
      <c r="G198" s="6" t="s">
        <v>22</v>
      </c>
    </row>
    <row r="199" spans="1:7" x14ac:dyDescent="0.3">
      <c r="A199" s="6" t="s">
        <v>386</v>
      </c>
      <c r="B199" s="6" t="s">
        <v>86</v>
      </c>
      <c r="C199" s="6" t="s">
        <v>40</v>
      </c>
      <c r="D199" s="7">
        <v>45061</v>
      </c>
      <c r="E199" s="8">
        <v>0.35416666666666669</v>
      </c>
      <c r="F199" s="6" t="s">
        <v>10</v>
      </c>
      <c r="G199" s="6" t="s">
        <v>22</v>
      </c>
    </row>
    <row r="200" spans="1:7" x14ac:dyDescent="0.3">
      <c r="A200" s="6" t="s">
        <v>387</v>
      </c>
      <c r="B200" s="6" t="s">
        <v>252</v>
      </c>
      <c r="C200" s="6" t="s">
        <v>119</v>
      </c>
      <c r="D200" s="7">
        <v>45047</v>
      </c>
      <c r="E200" s="8">
        <v>0.53125</v>
      </c>
      <c r="F200" s="6" t="s">
        <v>76</v>
      </c>
      <c r="G200" s="6" t="s">
        <v>82</v>
      </c>
    </row>
    <row r="201" spans="1:7" x14ac:dyDescent="0.3">
      <c r="A201" s="6" t="s">
        <v>388</v>
      </c>
      <c r="B201" s="6" t="s">
        <v>269</v>
      </c>
      <c r="C201" s="6" t="s">
        <v>144</v>
      </c>
      <c r="D201" s="7">
        <v>45290</v>
      </c>
      <c r="E201" s="8">
        <v>0.42708333333333331</v>
      </c>
      <c r="F201" s="6" t="s">
        <v>31</v>
      </c>
      <c r="G201" s="6"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A808-59C1-4563-B63A-BEF0E9E4D4C7}">
  <dimension ref="A3:B8"/>
  <sheetViews>
    <sheetView workbookViewId="0">
      <selection activeCell="B7" sqref="B7"/>
    </sheetView>
  </sheetViews>
  <sheetFormatPr defaultRowHeight="14.4" x14ac:dyDescent="0.3"/>
  <cols>
    <col min="1" max="1" width="12.44140625" bestFit="1" customWidth="1"/>
    <col min="2" max="2" width="21.6640625" bestFit="1" customWidth="1"/>
  </cols>
  <sheetData>
    <row r="3" spans="1:2" x14ac:dyDescent="0.3">
      <c r="A3" s="9" t="s">
        <v>427</v>
      </c>
      <c r="B3" t="s">
        <v>429</v>
      </c>
    </row>
    <row r="4" spans="1:2" x14ac:dyDescent="0.3">
      <c r="A4" s="4" t="s">
        <v>32</v>
      </c>
      <c r="B4">
        <v>38</v>
      </c>
    </row>
    <row r="5" spans="1:2" x14ac:dyDescent="0.3">
      <c r="A5" s="4" t="s">
        <v>82</v>
      </c>
      <c r="B5">
        <v>40</v>
      </c>
    </row>
    <row r="6" spans="1:2" x14ac:dyDescent="0.3">
      <c r="A6" s="4" t="s">
        <v>22</v>
      </c>
      <c r="B6">
        <v>40</v>
      </c>
    </row>
    <row r="7" spans="1:2" x14ac:dyDescent="0.3">
      <c r="A7" s="4" t="s">
        <v>11</v>
      </c>
      <c r="B7">
        <v>39</v>
      </c>
    </row>
    <row r="8" spans="1:2" x14ac:dyDescent="0.3">
      <c r="A8" s="4" t="s">
        <v>428</v>
      </c>
      <c r="B8">
        <v>157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1A212-7903-4418-9EAB-D1E35C00EA39}">
  <dimension ref="A3:B14"/>
  <sheetViews>
    <sheetView workbookViewId="0">
      <selection activeCell="B6" sqref="B6"/>
    </sheetView>
  </sheetViews>
  <sheetFormatPr defaultRowHeight="14.4" x14ac:dyDescent="0.3"/>
  <cols>
    <col min="1" max="1" width="12.44140625" bestFit="1" customWidth="1"/>
    <col min="2" max="2" width="13.33203125" bestFit="1" customWidth="1"/>
  </cols>
  <sheetData>
    <row r="3" spans="1:2" x14ac:dyDescent="0.3">
      <c r="A3" s="9" t="s">
        <v>427</v>
      </c>
      <c r="B3" t="s">
        <v>486</v>
      </c>
    </row>
    <row r="4" spans="1:2" x14ac:dyDescent="0.3">
      <c r="A4" s="4" t="s">
        <v>119</v>
      </c>
      <c r="B4">
        <v>25</v>
      </c>
    </row>
    <row r="5" spans="1:2" x14ac:dyDescent="0.3">
      <c r="A5" s="4" t="s">
        <v>97</v>
      </c>
      <c r="B5">
        <v>21</v>
      </c>
    </row>
    <row r="6" spans="1:2" x14ac:dyDescent="0.3">
      <c r="A6" s="4" t="s">
        <v>48</v>
      </c>
      <c r="B6">
        <v>22</v>
      </c>
    </row>
    <row r="7" spans="1:2" x14ac:dyDescent="0.3">
      <c r="A7" s="4" t="s">
        <v>21</v>
      </c>
      <c r="B7">
        <v>14</v>
      </c>
    </row>
    <row r="8" spans="1:2" x14ac:dyDescent="0.3">
      <c r="A8" s="4" t="s">
        <v>144</v>
      </c>
      <c r="B8">
        <v>29</v>
      </c>
    </row>
    <row r="9" spans="1:2" x14ac:dyDescent="0.3">
      <c r="A9" s="4" t="s">
        <v>40</v>
      </c>
      <c r="B9">
        <v>24</v>
      </c>
    </row>
    <row r="10" spans="1:2" x14ac:dyDescent="0.3">
      <c r="A10" s="4" t="s">
        <v>62</v>
      </c>
      <c r="B10">
        <v>13</v>
      </c>
    </row>
    <row r="11" spans="1:2" x14ac:dyDescent="0.3">
      <c r="A11" s="4" t="s">
        <v>112</v>
      </c>
      <c r="B11">
        <v>16</v>
      </c>
    </row>
    <row r="12" spans="1:2" x14ac:dyDescent="0.3">
      <c r="A12" s="4" t="s">
        <v>9</v>
      </c>
      <c r="B12">
        <v>17</v>
      </c>
    </row>
    <row r="13" spans="1:2" x14ac:dyDescent="0.3">
      <c r="A13" s="4" t="s">
        <v>69</v>
      </c>
      <c r="B13">
        <v>19</v>
      </c>
    </row>
    <row r="14" spans="1:2" x14ac:dyDescent="0.3">
      <c r="A14" s="4" t="s">
        <v>428</v>
      </c>
      <c r="B14">
        <v>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F2DFF-44DA-4B66-99CC-BA5322EB8F50}">
  <sheetPr>
    <tabColor theme="6" tint="-0.249977111117893"/>
  </sheetPr>
  <dimension ref="A1:T201"/>
  <sheetViews>
    <sheetView tabSelected="1" zoomScale="102" workbookViewId="0">
      <selection activeCell="B9" sqref="B9"/>
    </sheetView>
  </sheetViews>
  <sheetFormatPr defaultRowHeight="14.4" x14ac:dyDescent="0.3"/>
  <cols>
    <col min="1" max="1" width="16.88671875" customWidth="1"/>
    <col min="2" max="2" width="11.77734375" customWidth="1"/>
    <col min="3" max="3" width="11.21875" customWidth="1"/>
    <col min="4" max="4" width="19.109375" customWidth="1"/>
    <col min="5" max="5" width="19.21875" customWidth="1"/>
    <col min="6" max="6" width="17" customWidth="1"/>
    <col min="7" max="7" width="10.21875" bestFit="1" customWidth="1"/>
    <col min="8" max="8" width="12.33203125" customWidth="1"/>
    <col min="9" max="9" width="12" customWidth="1"/>
    <col min="10" max="10" width="14.33203125" bestFit="1" customWidth="1"/>
    <col min="11" max="11" width="9.109375" customWidth="1"/>
    <col min="12" max="12" width="14.6640625" style="1" customWidth="1"/>
    <col min="13" max="13" width="11.33203125" style="3" customWidth="1"/>
    <col min="14" max="14" width="17.33203125" customWidth="1"/>
    <col min="15" max="15" width="12.109375" bestFit="1" customWidth="1"/>
    <col min="16" max="16" width="18" style="1" customWidth="1"/>
    <col min="17" max="17" width="20" customWidth="1"/>
    <col min="18" max="18" width="19.44140625" customWidth="1"/>
    <col min="19" max="19" width="23.88671875" bestFit="1" customWidth="1"/>
    <col min="20" max="20" width="14.33203125" bestFit="1" customWidth="1"/>
  </cols>
  <sheetData>
    <row r="1" spans="1:20" x14ac:dyDescent="0.3">
      <c r="A1" t="s">
        <v>0</v>
      </c>
      <c r="B1" t="s">
        <v>1</v>
      </c>
      <c r="C1" t="s">
        <v>2</v>
      </c>
      <c r="D1" t="s">
        <v>3</v>
      </c>
      <c r="E1" t="s">
        <v>4</v>
      </c>
      <c r="F1" t="s">
        <v>5</v>
      </c>
      <c r="G1" t="s">
        <v>6</v>
      </c>
      <c r="H1" t="s">
        <v>389</v>
      </c>
      <c r="I1" t="s">
        <v>390</v>
      </c>
      <c r="J1" t="s">
        <v>406</v>
      </c>
      <c r="K1" t="s">
        <v>391</v>
      </c>
      <c r="L1" s="1" t="s">
        <v>392</v>
      </c>
      <c r="M1" s="3" t="s">
        <v>407</v>
      </c>
      <c r="N1" t="s">
        <v>393</v>
      </c>
      <c r="O1" t="s">
        <v>394</v>
      </c>
      <c r="P1" s="1" t="s">
        <v>395</v>
      </c>
      <c r="Q1" t="s">
        <v>396</v>
      </c>
      <c r="R1" t="s">
        <v>397</v>
      </c>
      <c r="S1" t="s">
        <v>398</v>
      </c>
      <c r="T1" t="s">
        <v>444</v>
      </c>
    </row>
    <row r="2" spans="1:20" x14ac:dyDescent="0.3">
      <c r="A2" t="s">
        <v>7</v>
      </c>
      <c r="B2" t="s">
        <v>8</v>
      </c>
      <c r="C2" t="s">
        <v>9</v>
      </c>
      <c r="D2" s="1">
        <v>45147</v>
      </c>
      <c r="E2" s="2">
        <v>0.63541666666666663</v>
      </c>
      <c r="F2" t="s">
        <v>10</v>
      </c>
      <c r="G2" t="s">
        <v>11</v>
      </c>
      <c r="H2" t="s">
        <v>12</v>
      </c>
      <c r="I2" t="s">
        <v>13</v>
      </c>
      <c r="J2" t="str">
        <f>CONCATENATE(H2," ",I2)</f>
        <v>Alex Smith</v>
      </c>
      <c r="K2" t="s">
        <v>14</v>
      </c>
      <c r="L2" s="1">
        <v>18289</v>
      </c>
      <c r="M2" s="3">
        <v>76</v>
      </c>
      <c r="N2">
        <v>8374657733</v>
      </c>
      <c r="O2" t="s">
        <v>15</v>
      </c>
      <c r="P2" s="1">
        <v>45095</v>
      </c>
      <c r="Q2" t="s">
        <v>16</v>
      </c>
      <c r="R2" t="s">
        <v>17</v>
      </c>
      <c r="S2" t="s">
        <v>18</v>
      </c>
      <c r="T2" s="1" t="str" cm="1">
        <f t="array" ref="T2">_xlfn.IFS(Table1[[#This Row],[age]]&lt;=17,"CHILD",Table1[[#This Row],[age]]&lt;=35,"YOUNG ADULT",Table1[[#This Row],[age]]&lt;=55,"MIDDLE AGE",Table1[[#This Row],[age]]&gt;=56,"SENIOR")</f>
        <v>SENIOR</v>
      </c>
    </row>
    <row r="3" spans="1:20" x14ac:dyDescent="0.3">
      <c r="A3" t="s">
        <v>19</v>
      </c>
      <c r="B3" t="s">
        <v>20</v>
      </c>
      <c r="C3" t="s">
        <v>21</v>
      </c>
      <c r="D3" s="1">
        <v>45086</v>
      </c>
      <c r="E3" s="2">
        <v>0.60416666666666663</v>
      </c>
      <c r="F3" t="s">
        <v>10</v>
      </c>
      <c r="G3" t="s">
        <v>22</v>
      </c>
      <c r="H3" t="s">
        <v>12</v>
      </c>
      <c r="I3" t="s">
        <v>23</v>
      </c>
      <c r="J3" t="str">
        <f t="shared" ref="J3:J66" si="0">CONCATENATE(H3," ",I3)</f>
        <v>Alex Moore</v>
      </c>
      <c r="K3" t="s">
        <v>24</v>
      </c>
      <c r="L3" s="1">
        <v>29594</v>
      </c>
      <c r="M3" s="3">
        <v>45</v>
      </c>
      <c r="N3">
        <v>8102183595</v>
      </c>
      <c r="O3" t="s">
        <v>25</v>
      </c>
      <c r="P3" s="1">
        <v>44471</v>
      </c>
      <c r="Q3" t="s">
        <v>26</v>
      </c>
      <c r="R3" t="s">
        <v>27</v>
      </c>
      <c r="S3" t="s">
        <v>28</v>
      </c>
      <c r="T3" s="1" t="str" cm="1">
        <f t="array" ref="T3">_xlfn.IFS(Table1[[#This Row],[age]]&lt;=17,"CHILD",Table1[[#This Row],[age]]&lt;=35,"YOUNG ADULT",Table1[[#This Row],[age]]&lt;=55,"MIDDLE AGE",Table1[[#This Row],[age]]&gt;=56,"SENIOR")</f>
        <v>MIDDLE AGE</v>
      </c>
    </row>
    <row r="4" spans="1:20" x14ac:dyDescent="0.3">
      <c r="A4" t="s">
        <v>29</v>
      </c>
      <c r="B4" t="s">
        <v>30</v>
      </c>
      <c r="C4" t="s">
        <v>21</v>
      </c>
      <c r="D4" s="1">
        <v>45105</v>
      </c>
      <c r="E4" s="2">
        <v>0.33333333333333331</v>
      </c>
      <c r="F4" t="s">
        <v>31</v>
      </c>
      <c r="G4" t="s">
        <v>32</v>
      </c>
      <c r="H4" t="s">
        <v>33</v>
      </c>
      <c r="I4" t="s">
        <v>34</v>
      </c>
      <c r="J4" t="str">
        <f t="shared" si="0"/>
        <v>Emily Miller</v>
      </c>
      <c r="K4" t="s">
        <v>24</v>
      </c>
      <c r="L4" s="1">
        <v>30399</v>
      </c>
      <c r="M4" s="3">
        <v>43</v>
      </c>
      <c r="N4">
        <v>8720989381</v>
      </c>
      <c r="O4" t="s">
        <v>25</v>
      </c>
      <c r="P4" s="1">
        <v>45096</v>
      </c>
      <c r="Q4" t="s">
        <v>35</v>
      </c>
      <c r="R4" t="s">
        <v>36</v>
      </c>
      <c r="S4" t="s">
        <v>37</v>
      </c>
      <c r="T4" s="1" t="str" cm="1">
        <f t="array" ref="T4">_xlfn.IFS(Table1[[#This Row],[age]]&lt;=17,"CHILD",Table1[[#This Row],[age]]&lt;=35,"YOUNG ADULT",Table1[[#This Row],[age]]&lt;=55,"MIDDLE AGE",Table1[[#This Row],[age]]&gt;=56,"SENIOR")</f>
        <v>MIDDLE AGE</v>
      </c>
    </row>
    <row r="5" spans="1:20" x14ac:dyDescent="0.3">
      <c r="A5" t="s">
        <v>38</v>
      </c>
      <c r="B5" t="s">
        <v>39</v>
      </c>
      <c r="C5" t="s">
        <v>40</v>
      </c>
      <c r="D5" s="1">
        <v>45170</v>
      </c>
      <c r="E5" s="2">
        <v>0.38541666666666669</v>
      </c>
      <c r="F5" t="s">
        <v>31</v>
      </c>
      <c r="G5" t="s">
        <v>32</v>
      </c>
      <c r="H5" t="s">
        <v>41</v>
      </c>
      <c r="I5" t="s">
        <v>42</v>
      </c>
      <c r="J5" t="str">
        <f t="shared" si="0"/>
        <v>Robert Wilson</v>
      </c>
      <c r="K5" t="s">
        <v>24</v>
      </c>
      <c r="L5" s="1">
        <v>24333</v>
      </c>
      <c r="M5" s="3">
        <v>60</v>
      </c>
      <c r="N5">
        <v>7482069727</v>
      </c>
      <c r="O5" t="s">
        <v>25</v>
      </c>
      <c r="P5" s="1">
        <v>44448</v>
      </c>
      <c r="Q5" t="s">
        <v>43</v>
      </c>
      <c r="R5" t="s">
        <v>44</v>
      </c>
      <c r="S5" t="s">
        <v>45</v>
      </c>
      <c r="T5" s="1" t="str" cm="1">
        <f t="array" ref="T5">_xlfn.IFS(Table1[[#This Row],[age]]&lt;=17,"CHILD",Table1[[#This Row],[age]]&lt;=35,"YOUNG ADULT",Table1[[#This Row],[age]]&lt;=55,"MIDDLE AGE",Table1[[#This Row],[age]]&gt;=56,"SENIOR")</f>
        <v>SENIOR</v>
      </c>
    </row>
    <row r="6" spans="1:20" x14ac:dyDescent="0.3">
      <c r="A6" t="s">
        <v>46</v>
      </c>
      <c r="B6" t="s">
        <v>47</v>
      </c>
      <c r="C6" t="s">
        <v>48</v>
      </c>
      <c r="D6" s="1">
        <v>45113</v>
      </c>
      <c r="E6" s="2">
        <v>0.53125</v>
      </c>
      <c r="F6" t="s">
        <v>49</v>
      </c>
      <c r="G6" t="s">
        <v>22</v>
      </c>
      <c r="H6" t="s">
        <v>33</v>
      </c>
      <c r="I6" t="s">
        <v>50</v>
      </c>
      <c r="J6" t="str">
        <f t="shared" si="0"/>
        <v>Emily Williams</v>
      </c>
      <c r="K6" t="s">
        <v>24</v>
      </c>
      <c r="L6" s="1">
        <v>26449</v>
      </c>
      <c r="M6" s="3">
        <v>54</v>
      </c>
      <c r="N6">
        <v>7587653815</v>
      </c>
      <c r="O6" t="s">
        <v>51</v>
      </c>
      <c r="P6" s="1">
        <v>44485</v>
      </c>
      <c r="Q6" t="s">
        <v>35</v>
      </c>
      <c r="R6" t="s">
        <v>52</v>
      </c>
      <c r="S6" t="s">
        <v>53</v>
      </c>
      <c r="T6" s="1" t="str" cm="1">
        <f t="array" ref="T6">_xlfn.IFS(Table1[[#This Row],[age]]&lt;=17,"CHILD",Table1[[#This Row],[age]]&lt;=35,"YOUNG ADULT",Table1[[#This Row],[age]]&lt;=55,"MIDDLE AGE",Table1[[#This Row],[age]]&gt;=56,"SENIOR")</f>
        <v>MIDDLE AGE</v>
      </c>
    </row>
    <row r="7" spans="1:20" x14ac:dyDescent="0.3">
      <c r="A7" t="s">
        <v>54</v>
      </c>
      <c r="B7" t="s">
        <v>55</v>
      </c>
      <c r="C7" t="s">
        <v>40</v>
      </c>
      <c r="D7" s="1">
        <v>45096</v>
      </c>
      <c r="E7" s="2">
        <v>0.67708333333333337</v>
      </c>
      <c r="F7" t="s">
        <v>56</v>
      </c>
      <c r="G7" t="s">
        <v>11</v>
      </c>
      <c r="H7" t="s">
        <v>57</v>
      </c>
      <c r="I7" t="s">
        <v>34</v>
      </c>
      <c r="J7" t="str">
        <f t="shared" si="0"/>
        <v>Linda Miller</v>
      </c>
      <c r="K7" t="s">
        <v>14</v>
      </c>
      <c r="L7" s="1">
        <v>24222</v>
      </c>
      <c r="M7" s="3">
        <v>60</v>
      </c>
      <c r="N7">
        <v>7579616535</v>
      </c>
      <c r="O7" t="s">
        <v>15</v>
      </c>
      <c r="P7" s="1">
        <v>44219</v>
      </c>
      <c r="Q7" t="s">
        <v>26</v>
      </c>
      <c r="R7" t="s">
        <v>58</v>
      </c>
      <c r="S7" t="s">
        <v>59</v>
      </c>
      <c r="T7" s="1" t="str" cm="1">
        <f t="array" ref="T7">_xlfn.IFS(Table1[[#This Row],[age]]&lt;=17,"CHILD",Table1[[#This Row],[age]]&lt;=35,"YOUNG ADULT",Table1[[#This Row],[age]]&lt;=55,"MIDDLE AGE",Table1[[#This Row],[age]]&gt;=56,"SENIOR")</f>
        <v>SENIOR</v>
      </c>
    </row>
    <row r="8" spans="1:20" x14ac:dyDescent="0.3">
      <c r="A8" t="s">
        <v>60</v>
      </c>
      <c r="B8" t="s">
        <v>61</v>
      </c>
      <c r="C8" t="s">
        <v>62</v>
      </c>
      <c r="D8" s="1">
        <v>45025</v>
      </c>
      <c r="E8" s="2">
        <v>0.4375</v>
      </c>
      <c r="F8" t="s">
        <v>31</v>
      </c>
      <c r="G8" t="s">
        <v>11</v>
      </c>
      <c r="H8" t="s">
        <v>63</v>
      </c>
      <c r="I8" t="s">
        <v>50</v>
      </c>
      <c r="J8" t="str">
        <f t="shared" si="0"/>
        <v>David Williams</v>
      </c>
      <c r="K8" t="s">
        <v>14</v>
      </c>
      <c r="L8" s="1">
        <v>20244</v>
      </c>
      <c r="M8" s="3">
        <v>71</v>
      </c>
      <c r="N8">
        <v>6939585183</v>
      </c>
      <c r="O8" t="s">
        <v>64</v>
      </c>
      <c r="P8" s="1">
        <v>44735</v>
      </c>
      <c r="Q8" t="s">
        <v>16</v>
      </c>
      <c r="R8" t="s">
        <v>65</v>
      </c>
      <c r="S8" t="s">
        <v>66</v>
      </c>
      <c r="T8" s="1" t="str" cm="1">
        <f t="array" ref="T8">_xlfn.IFS(Table1[[#This Row],[age]]&lt;=17,"CHILD",Table1[[#This Row],[age]]&lt;=35,"YOUNG ADULT",Table1[[#This Row],[age]]&lt;=55,"MIDDLE AGE",Table1[[#This Row],[age]]&gt;=56,"SENIOR")</f>
        <v>SENIOR</v>
      </c>
    </row>
    <row r="9" spans="1:20" x14ac:dyDescent="0.3">
      <c r="A9" t="s">
        <v>67</v>
      </c>
      <c r="B9" t="s">
        <v>68</v>
      </c>
      <c r="C9" t="s">
        <v>69</v>
      </c>
      <c r="D9" s="1">
        <v>45070</v>
      </c>
      <c r="E9" s="2">
        <v>0.36458333333333331</v>
      </c>
      <c r="F9" t="s">
        <v>31</v>
      </c>
      <c r="G9" t="s">
        <v>32</v>
      </c>
      <c r="H9" t="s">
        <v>70</v>
      </c>
      <c r="I9" t="s">
        <v>71</v>
      </c>
      <c r="J9" t="str">
        <f t="shared" si="0"/>
        <v>Michael Taylor</v>
      </c>
      <c r="K9" t="s">
        <v>24</v>
      </c>
      <c r="L9" s="1">
        <v>36729</v>
      </c>
      <c r="M9" s="3">
        <v>26</v>
      </c>
      <c r="N9">
        <v>7223380592</v>
      </c>
      <c r="O9" t="s">
        <v>64</v>
      </c>
      <c r="P9" s="1">
        <v>44400</v>
      </c>
      <c r="Q9" t="s">
        <v>35</v>
      </c>
      <c r="R9" t="s">
        <v>72</v>
      </c>
      <c r="S9" t="s">
        <v>73</v>
      </c>
      <c r="T9" s="1" t="str" cm="1">
        <f t="array" ref="T9">_xlfn.IFS(Table1[[#This Row],[age]]&lt;=17,"CHILD",Table1[[#This Row],[age]]&lt;=35,"YOUNG ADULT",Table1[[#This Row],[age]]&lt;=55,"MIDDLE AGE",Table1[[#This Row],[age]]&gt;=56,"SENIOR")</f>
        <v>YOUNG ADULT</v>
      </c>
    </row>
    <row r="10" spans="1:20" x14ac:dyDescent="0.3">
      <c r="A10" t="s">
        <v>74</v>
      </c>
      <c r="B10" t="s">
        <v>75</v>
      </c>
      <c r="C10" t="s">
        <v>69</v>
      </c>
      <c r="D10" s="1">
        <v>44990</v>
      </c>
      <c r="E10" s="2">
        <v>0.57291666666666663</v>
      </c>
      <c r="F10" t="s">
        <v>76</v>
      </c>
      <c r="G10" t="s">
        <v>11</v>
      </c>
      <c r="H10" t="s">
        <v>77</v>
      </c>
      <c r="I10" t="s">
        <v>42</v>
      </c>
      <c r="J10" t="str">
        <f t="shared" si="0"/>
        <v>Jane Wilson</v>
      </c>
      <c r="K10" t="s">
        <v>14</v>
      </c>
      <c r="L10" s="1">
        <v>18609</v>
      </c>
      <c r="M10" s="3">
        <v>75</v>
      </c>
      <c r="N10">
        <v>9271131338</v>
      </c>
      <c r="O10" t="s">
        <v>64</v>
      </c>
      <c r="P10" s="1">
        <v>44264</v>
      </c>
      <c r="Q10" t="s">
        <v>35</v>
      </c>
      <c r="R10" t="s">
        <v>78</v>
      </c>
      <c r="S10" t="s">
        <v>79</v>
      </c>
      <c r="T10" s="1" t="str" cm="1">
        <f t="array" ref="T10">_xlfn.IFS(Table1[[#This Row],[age]]&lt;=17,"CHILD",Table1[[#This Row],[age]]&lt;=35,"YOUNG ADULT",Table1[[#This Row],[age]]&lt;=55,"MIDDLE AGE",Table1[[#This Row],[age]]&gt;=56,"SENIOR")</f>
        <v>SENIOR</v>
      </c>
    </row>
    <row r="11" spans="1:20" x14ac:dyDescent="0.3">
      <c r="A11" t="s">
        <v>80</v>
      </c>
      <c r="B11" t="s">
        <v>81</v>
      </c>
      <c r="C11" t="s">
        <v>48</v>
      </c>
      <c r="D11" s="1">
        <v>44939</v>
      </c>
      <c r="E11" s="2">
        <v>0.64583333333333337</v>
      </c>
      <c r="F11" t="s">
        <v>10</v>
      </c>
      <c r="G11" t="s">
        <v>82</v>
      </c>
      <c r="H11" t="s">
        <v>63</v>
      </c>
      <c r="I11" t="s">
        <v>42</v>
      </c>
      <c r="J11" t="str">
        <f t="shared" si="0"/>
        <v>David Wilson</v>
      </c>
      <c r="K11" t="s">
        <v>24</v>
      </c>
      <c r="L11" s="1">
        <v>22090</v>
      </c>
      <c r="M11" s="3">
        <v>66</v>
      </c>
      <c r="N11">
        <v>7734463155</v>
      </c>
      <c r="O11" t="s">
        <v>25</v>
      </c>
      <c r="P11" s="1">
        <v>44468</v>
      </c>
      <c r="Q11" t="s">
        <v>26</v>
      </c>
      <c r="R11" t="s">
        <v>83</v>
      </c>
      <c r="S11" t="s">
        <v>84</v>
      </c>
      <c r="T11" s="1" t="str" cm="1">
        <f t="array" ref="T11">_xlfn.IFS(Table1[[#This Row],[age]]&lt;=17,"CHILD",Table1[[#This Row],[age]]&lt;=35,"YOUNG ADULT",Table1[[#This Row],[age]]&lt;=55,"MIDDLE AGE",Table1[[#This Row],[age]]&gt;=56,"SENIOR")</f>
        <v>SENIOR</v>
      </c>
    </row>
    <row r="12" spans="1:20" x14ac:dyDescent="0.3">
      <c r="A12" t="s">
        <v>85</v>
      </c>
      <c r="B12" t="s">
        <v>86</v>
      </c>
      <c r="C12" t="s">
        <v>62</v>
      </c>
      <c r="D12" s="1">
        <v>45242</v>
      </c>
      <c r="E12" s="2">
        <v>0.66666666666666663</v>
      </c>
      <c r="F12" t="s">
        <v>56</v>
      </c>
      <c r="G12" t="s">
        <v>22</v>
      </c>
      <c r="H12" t="s">
        <v>87</v>
      </c>
      <c r="I12" t="s">
        <v>88</v>
      </c>
      <c r="J12" t="str">
        <f t="shared" si="0"/>
        <v>John Brown</v>
      </c>
      <c r="K12" t="s">
        <v>24</v>
      </c>
      <c r="L12" s="1">
        <v>20219</v>
      </c>
      <c r="M12" s="3">
        <v>71</v>
      </c>
      <c r="N12">
        <v>6221099573</v>
      </c>
      <c r="O12" t="s">
        <v>15</v>
      </c>
      <c r="P12" s="1">
        <v>44327</v>
      </c>
      <c r="Q12" t="s">
        <v>26</v>
      </c>
      <c r="R12" t="s">
        <v>89</v>
      </c>
      <c r="S12" t="s">
        <v>90</v>
      </c>
      <c r="T12" s="1" t="str" cm="1">
        <f t="array" ref="T12">_xlfn.IFS(Table1[[#This Row],[age]]&lt;=17,"CHILD",Table1[[#This Row],[age]]&lt;=35,"YOUNG ADULT",Table1[[#This Row],[age]]&lt;=55,"MIDDLE AGE",Table1[[#This Row],[age]]&gt;=56,"SENIOR")</f>
        <v>SENIOR</v>
      </c>
    </row>
    <row r="13" spans="1:20" x14ac:dyDescent="0.3">
      <c r="A13" t="s">
        <v>91</v>
      </c>
      <c r="B13" t="s">
        <v>92</v>
      </c>
      <c r="C13" t="s">
        <v>48</v>
      </c>
      <c r="D13" s="1">
        <v>45053</v>
      </c>
      <c r="E13" s="2">
        <v>0.41666666666666669</v>
      </c>
      <c r="F13" t="s">
        <v>76</v>
      </c>
      <c r="G13" t="s">
        <v>82</v>
      </c>
      <c r="H13" t="s">
        <v>63</v>
      </c>
      <c r="I13" t="s">
        <v>13</v>
      </c>
      <c r="J13" t="str">
        <f t="shared" si="0"/>
        <v>David Smith</v>
      </c>
      <c r="K13" t="s">
        <v>24</v>
      </c>
      <c r="L13" s="1">
        <v>38487</v>
      </c>
      <c r="M13" s="3">
        <v>21</v>
      </c>
      <c r="N13">
        <v>8923607677</v>
      </c>
      <c r="O13" t="s">
        <v>64</v>
      </c>
      <c r="P13" s="1">
        <v>45035</v>
      </c>
      <c r="Q13" t="s">
        <v>43</v>
      </c>
      <c r="R13" t="s">
        <v>93</v>
      </c>
      <c r="S13" t="s">
        <v>94</v>
      </c>
      <c r="T13" s="1" t="str" cm="1">
        <f t="array" ref="T13">_xlfn.IFS(Table1[[#This Row],[age]]&lt;=17,"CHILD",Table1[[#This Row],[age]]&lt;=35,"YOUNG ADULT",Table1[[#This Row],[age]]&lt;=55,"MIDDLE AGE",Table1[[#This Row],[age]]&gt;=56,"SENIOR")</f>
        <v>YOUNG ADULT</v>
      </c>
    </row>
    <row r="14" spans="1:20" x14ac:dyDescent="0.3">
      <c r="A14" t="s">
        <v>95</v>
      </c>
      <c r="B14" t="s">
        <v>96</v>
      </c>
      <c r="C14" t="s">
        <v>97</v>
      </c>
      <c r="D14" s="1">
        <v>45154</v>
      </c>
      <c r="E14" s="2">
        <v>0.5</v>
      </c>
      <c r="F14" t="s">
        <v>49</v>
      </c>
      <c r="G14" t="s">
        <v>11</v>
      </c>
      <c r="H14" t="s">
        <v>98</v>
      </c>
      <c r="I14" t="s">
        <v>99</v>
      </c>
      <c r="J14" t="str">
        <f t="shared" si="0"/>
        <v>Laura Jones</v>
      </c>
      <c r="K14" t="s">
        <v>24</v>
      </c>
      <c r="L14" s="1">
        <v>28358</v>
      </c>
      <c r="M14" s="3">
        <v>49</v>
      </c>
      <c r="N14">
        <v>8397029847</v>
      </c>
      <c r="O14" t="s">
        <v>15</v>
      </c>
      <c r="P14" s="1">
        <v>44599</v>
      </c>
      <c r="Q14" t="s">
        <v>35</v>
      </c>
      <c r="R14" t="s">
        <v>100</v>
      </c>
      <c r="S14" t="s">
        <v>101</v>
      </c>
      <c r="T14" s="1" t="str" cm="1">
        <f t="array" ref="T14">_xlfn.IFS(Table1[[#This Row],[age]]&lt;=17,"CHILD",Table1[[#This Row],[age]]&lt;=35,"YOUNG ADULT",Table1[[#This Row],[age]]&lt;=55,"MIDDLE AGE",Table1[[#This Row],[age]]&gt;=56,"SENIOR")</f>
        <v>MIDDLE AGE</v>
      </c>
    </row>
    <row r="15" spans="1:20" x14ac:dyDescent="0.3">
      <c r="A15" t="s">
        <v>102</v>
      </c>
      <c r="B15" t="s">
        <v>103</v>
      </c>
      <c r="C15" t="s">
        <v>69</v>
      </c>
      <c r="D15" s="1">
        <v>45071</v>
      </c>
      <c r="E15" s="2">
        <v>0.4375</v>
      </c>
      <c r="F15" t="s">
        <v>49</v>
      </c>
      <c r="G15" t="s">
        <v>32</v>
      </c>
      <c r="H15" t="s">
        <v>98</v>
      </c>
      <c r="I15" t="s">
        <v>104</v>
      </c>
      <c r="J15" t="str">
        <f t="shared" si="0"/>
        <v>Laura Davis</v>
      </c>
      <c r="K15" t="s">
        <v>14</v>
      </c>
      <c r="L15" s="1">
        <v>33580</v>
      </c>
      <c r="M15" s="3">
        <v>34</v>
      </c>
      <c r="N15">
        <v>8135666049</v>
      </c>
      <c r="O15" t="s">
        <v>15</v>
      </c>
      <c r="P15" s="1">
        <v>45043</v>
      </c>
      <c r="Q15" t="s">
        <v>26</v>
      </c>
      <c r="R15" t="s">
        <v>105</v>
      </c>
      <c r="S15" t="s">
        <v>106</v>
      </c>
      <c r="T15" s="1" t="str" cm="1">
        <f t="array" ref="T15">_xlfn.IFS(Table1[[#This Row],[age]]&lt;=17,"CHILD",Table1[[#This Row],[age]]&lt;=35,"YOUNG ADULT",Table1[[#This Row],[age]]&lt;=55,"MIDDLE AGE",Table1[[#This Row],[age]]&gt;=56,"SENIOR")</f>
        <v>YOUNG ADULT</v>
      </c>
    </row>
    <row r="16" spans="1:20" x14ac:dyDescent="0.3">
      <c r="A16" t="s">
        <v>107</v>
      </c>
      <c r="B16" t="s">
        <v>108</v>
      </c>
      <c r="C16" t="s">
        <v>21</v>
      </c>
      <c r="D16" s="1">
        <v>44941</v>
      </c>
      <c r="E16" s="2">
        <v>0.71875</v>
      </c>
      <c r="F16" t="s">
        <v>31</v>
      </c>
      <c r="G16" t="s">
        <v>22</v>
      </c>
      <c r="H16" t="s">
        <v>87</v>
      </c>
      <c r="I16" t="s">
        <v>71</v>
      </c>
      <c r="J16" t="str">
        <f t="shared" si="0"/>
        <v>John Taylor</v>
      </c>
      <c r="K16" t="s">
        <v>24</v>
      </c>
      <c r="L16" s="1">
        <v>37953</v>
      </c>
      <c r="M16" s="3">
        <v>22</v>
      </c>
      <c r="N16">
        <v>9900972256</v>
      </c>
      <c r="O16" t="s">
        <v>25</v>
      </c>
      <c r="P16" s="1">
        <v>44329</v>
      </c>
      <c r="Q16" t="s">
        <v>26</v>
      </c>
      <c r="R16" t="s">
        <v>109</v>
      </c>
      <c r="S16" t="s">
        <v>110</v>
      </c>
      <c r="T16" s="1" t="str" cm="1">
        <f t="array" ref="T16">_xlfn.IFS(Table1[[#This Row],[age]]&lt;=17,"CHILD",Table1[[#This Row],[age]]&lt;=35,"YOUNG ADULT",Table1[[#This Row],[age]]&lt;=55,"MIDDLE AGE",Table1[[#This Row],[age]]&gt;=56,"SENIOR")</f>
        <v>YOUNG ADULT</v>
      </c>
    </row>
    <row r="17" spans="1:20" x14ac:dyDescent="0.3">
      <c r="A17" t="s">
        <v>111</v>
      </c>
      <c r="B17" t="s">
        <v>68</v>
      </c>
      <c r="C17" t="s">
        <v>112</v>
      </c>
      <c r="D17" s="1">
        <v>45107</v>
      </c>
      <c r="E17" s="2">
        <v>0.45833333333333331</v>
      </c>
      <c r="F17" t="s">
        <v>31</v>
      </c>
      <c r="G17" t="s">
        <v>11</v>
      </c>
      <c r="H17" t="s">
        <v>70</v>
      </c>
      <c r="I17" t="s">
        <v>71</v>
      </c>
      <c r="J17" t="str">
        <f t="shared" si="0"/>
        <v>Michael Taylor</v>
      </c>
      <c r="K17" t="s">
        <v>24</v>
      </c>
      <c r="L17" s="1">
        <v>36729</v>
      </c>
      <c r="M17" s="3">
        <v>26</v>
      </c>
      <c r="N17">
        <v>7223380592</v>
      </c>
      <c r="O17" t="s">
        <v>64</v>
      </c>
      <c r="P17" s="1">
        <v>44400</v>
      </c>
      <c r="Q17" t="s">
        <v>35</v>
      </c>
      <c r="R17" t="s">
        <v>72</v>
      </c>
      <c r="S17" t="s">
        <v>73</v>
      </c>
      <c r="T17" s="1" t="str" cm="1">
        <f t="array" ref="T17">_xlfn.IFS(Table1[[#This Row],[age]]&lt;=17,"CHILD",Table1[[#This Row],[age]]&lt;=35,"YOUNG ADULT",Table1[[#This Row],[age]]&lt;=55,"MIDDLE AGE",Table1[[#This Row],[age]]&gt;=56,"SENIOR")</f>
        <v>YOUNG ADULT</v>
      </c>
    </row>
    <row r="18" spans="1:20" x14ac:dyDescent="0.3">
      <c r="A18" t="s">
        <v>113</v>
      </c>
      <c r="B18" t="s">
        <v>114</v>
      </c>
      <c r="C18" t="s">
        <v>9</v>
      </c>
      <c r="D18" s="1">
        <v>45118</v>
      </c>
      <c r="E18" s="2">
        <v>0.70833333333333337</v>
      </c>
      <c r="F18" t="s">
        <v>49</v>
      </c>
      <c r="G18" t="s">
        <v>11</v>
      </c>
      <c r="H18" t="s">
        <v>41</v>
      </c>
      <c r="I18" t="s">
        <v>50</v>
      </c>
      <c r="J18" t="str">
        <f t="shared" si="0"/>
        <v>Robert Williams</v>
      </c>
      <c r="K18" t="s">
        <v>24</v>
      </c>
      <c r="L18" s="1">
        <v>36196</v>
      </c>
      <c r="M18" s="3">
        <v>27</v>
      </c>
      <c r="N18">
        <v>8886800195</v>
      </c>
      <c r="O18" t="s">
        <v>51</v>
      </c>
      <c r="P18" s="1">
        <v>44469</v>
      </c>
      <c r="Q18" t="s">
        <v>43</v>
      </c>
      <c r="R18" t="s">
        <v>115</v>
      </c>
      <c r="S18" t="s">
        <v>116</v>
      </c>
      <c r="T18" s="1" t="str" cm="1">
        <f t="array" ref="T18">_xlfn.IFS(Table1[[#This Row],[age]]&lt;=17,"CHILD",Table1[[#This Row],[age]]&lt;=35,"YOUNG ADULT",Table1[[#This Row],[age]]&lt;=55,"MIDDLE AGE",Table1[[#This Row],[age]]&gt;=56,"SENIOR")</f>
        <v>YOUNG ADULT</v>
      </c>
    </row>
    <row r="19" spans="1:20" x14ac:dyDescent="0.3">
      <c r="A19" t="s">
        <v>117</v>
      </c>
      <c r="B19" t="s">
        <v>86</v>
      </c>
      <c r="C19" t="s">
        <v>62</v>
      </c>
      <c r="D19" s="1">
        <v>45244</v>
      </c>
      <c r="E19" s="2">
        <v>0.40625</v>
      </c>
      <c r="F19" t="s">
        <v>31</v>
      </c>
      <c r="G19" t="s">
        <v>32</v>
      </c>
      <c r="H19" t="s">
        <v>87</v>
      </c>
      <c r="I19" t="s">
        <v>88</v>
      </c>
      <c r="J19" t="str">
        <f t="shared" si="0"/>
        <v>John Brown</v>
      </c>
      <c r="K19" t="s">
        <v>24</v>
      </c>
      <c r="L19" s="1">
        <v>20219</v>
      </c>
      <c r="M19" s="3">
        <v>71</v>
      </c>
      <c r="N19">
        <v>6221099573</v>
      </c>
      <c r="O19" t="s">
        <v>15</v>
      </c>
      <c r="P19" s="1">
        <v>44327</v>
      </c>
      <c r="Q19" t="s">
        <v>26</v>
      </c>
      <c r="R19" t="s">
        <v>89</v>
      </c>
      <c r="S19" t="s">
        <v>90</v>
      </c>
      <c r="T19" s="1" t="str" cm="1">
        <f t="array" ref="T19">_xlfn.IFS(Table1[[#This Row],[age]]&lt;=17,"CHILD",Table1[[#This Row],[age]]&lt;=35,"YOUNG ADULT",Table1[[#This Row],[age]]&lt;=55,"MIDDLE AGE",Table1[[#This Row],[age]]&gt;=56,"SENIOR")</f>
        <v>SENIOR</v>
      </c>
    </row>
    <row r="20" spans="1:20" x14ac:dyDescent="0.3">
      <c r="A20" t="s">
        <v>118</v>
      </c>
      <c r="B20" t="s">
        <v>92</v>
      </c>
      <c r="C20" t="s">
        <v>119</v>
      </c>
      <c r="D20" s="1">
        <v>44963</v>
      </c>
      <c r="E20" s="2">
        <v>0.64583333333333337</v>
      </c>
      <c r="F20" t="s">
        <v>56</v>
      </c>
      <c r="G20" t="s">
        <v>32</v>
      </c>
      <c r="H20" t="s">
        <v>63</v>
      </c>
      <c r="I20" t="s">
        <v>13</v>
      </c>
      <c r="J20" t="str">
        <f t="shared" si="0"/>
        <v>David Smith</v>
      </c>
      <c r="K20" t="s">
        <v>24</v>
      </c>
      <c r="L20" s="1">
        <v>38487</v>
      </c>
      <c r="M20" s="3">
        <v>21</v>
      </c>
      <c r="N20">
        <v>8923607677</v>
      </c>
      <c r="O20" t="s">
        <v>64</v>
      </c>
      <c r="P20" s="1">
        <v>45035</v>
      </c>
      <c r="Q20" t="s">
        <v>43</v>
      </c>
      <c r="R20" t="s">
        <v>93</v>
      </c>
      <c r="S20" t="s">
        <v>94</v>
      </c>
      <c r="T20" s="1" t="str" cm="1">
        <f t="array" ref="T20">_xlfn.IFS(Table1[[#This Row],[age]]&lt;=17,"CHILD",Table1[[#This Row],[age]]&lt;=35,"YOUNG ADULT",Table1[[#This Row],[age]]&lt;=55,"MIDDLE AGE",Table1[[#This Row],[age]]&gt;=56,"SENIOR")</f>
        <v>YOUNG ADULT</v>
      </c>
    </row>
    <row r="21" spans="1:20" x14ac:dyDescent="0.3">
      <c r="A21" t="s">
        <v>120</v>
      </c>
      <c r="B21" t="s">
        <v>121</v>
      </c>
      <c r="C21" t="s">
        <v>48</v>
      </c>
      <c r="D21" s="1">
        <v>45265</v>
      </c>
      <c r="E21" s="2">
        <v>0.63541666666666663</v>
      </c>
      <c r="F21" t="s">
        <v>31</v>
      </c>
      <c r="G21" t="s">
        <v>82</v>
      </c>
      <c r="H21" t="s">
        <v>12</v>
      </c>
      <c r="I21" t="s">
        <v>71</v>
      </c>
      <c r="J21" t="str">
        <f t="shared" si="0"/>
        <v>Alex Taylor</v>
      </c>
      <c r="K21" t="s">
        <v>24</v>
      </c>
      <c r="L21" s="1">
        <v>24895</v>
      </c>
      <c r="M21" s="3">
        <v>58</v>
      </c>
      <c r="N21">
        <v>7292262512</v>
      </c>
      <c r="O21" t="s">
        <v>64</v>
      </c>
      <c r="P21" s="1">
        <v>45272</v>
      </c>
      <c r="Q21" t="s">
        <v>26</v>
      </c>
      <c r="R21" t="s">
        <v>122</v>
      </c>
      <c r="S21" t="s">
        <v>123</v>
      </c>
      <c r="T21" s="1" t="str" cm="1">
        <f t="array" ref="T21">_xlfn.IFS(Table1[[#This Row],[age]]&lt;=17,"CHILD",Table1[[#This Row],[age]]&lt;=35,"YOUNG ADULT",Table1[[#This Row],[age]]&lt;=55,"MIDDLE AGE",Table1[[#This Row],[age]]&gt;=56,"SENIOR")</f>
        <v>SENIOR</v>
      </c>
    </row>
    <row r="22" spans="1:20" x14ac:dyDescent="0.3">
      <c r="A22" t="s">
        <v>124</v>
      </c>
      <c r="B22" t="s">
        <v>125</v>
      </c>
      <c r="C22" t="s">
        <v>9</v>
      </c>
      <c r="D22" s="1">
        <v>45040</v>
      </c>
      <c r="E22" s="2">
        <v>0.41666666666666669</v>
      </c>
      <c r="F22" t="s">
        <v>10</v>
      </c>
      <c r="G22" t="s">
        <v>22</v>
      </c>
      <c r="H22" t="s">
        <v>12</v>
      </c>
      <c r="I22" t="s">
        <v>23</v>
      </c>
      <c r="J22" t="str">
        <f t="shared" si="0"/>
        <v>Alex Moore</v>
      </c>
      <c r="K22" t="s">
        <v>24</v>
      </c>
      <c r="L22" s="1">
        <v>34072</v>
      </c>
      <c r="M22" s="3">
        <v>33</v>
      </c>
      <c r="N22">
        <v>7028910482</v>
      </c>
      <c r="O22" t="s">
        <v>15</v>
      </c>
      <c r="P22" s="1">
        <v>45066</v>
      </c>
      <c r="Q22" t="s">
        <v>26</v>
      </c>
      <c r="R22" t="s">
        <v>126</v>
      </c>
      <c r="S22" t="s">
        <v>28</v>
      </c>
      <c r="T22" s="1" t="str" cm="1">
        <f t="array" ref="T22">_xlfn.IFS(Table1[[#This Row],[age]]&lt;=17,"CHILD",Table1[[#This Row],[age]]&lt;=35,"YOUNG ADULT",Table1[[#This Row],[age]]&lt;=55,"MIDDLE AGE",Table1[[#This Row],[age]]&gt;=56,"SENIOR")</f>
        <v>YOUNG ADULT</v>
      </c>
    </row>
    <row r="23" spans="1:20" x14ac:dyDescent="0.3">
      <c r="A23" t="s">
        <v>127</v>
      </c>
      <c r="B23" t="s">
        <v>81</v>
      </c>
      <c r="C23" t="s">
        <v>119</v>
      </c>
      <c r="D23" s="1">
        <v>45244</v>
      </c>
      <c r="E23" s="2">
        <v>0.54166666666666663</v>
      </c>
      <c r="F23" t="s">
        <v>31</v>
      </c>
      <c r="G23" t="s">
        <v>22</v>
      </c>
      <c r="H23" t="s">
        <v>63</v>
      </c>
      <c r="I23" t="s">
        <v>42</v>
      </c>
      <c r="J23" t="str">
        <f t="shared" si="0"/>
        <v>David Wilson</v>
      </c>
      <c r="K23" t="s">
        <v>24</v>
      </c>
      <c r="L23" s="1">
        <v>22090</v>
      </c>
      <c r="M23" s="3">
        <v>66</v>
      </c>
      <c r="N23">
        <v>7734463155</v>
      </c>
      <c r="O23" t="s">
        <v>25</v>
      </c>
      <c r="P23" s="1">
        <v>44468</v>
      </c>
      <c r="Q23" t="s">
        <v>26</v>
      </c>
      <c r="R23" t="s">
        <v>83</v>
      </c>
      <c r="S23" t="s">
        <v>84</v>
      </c>
      <c r="T23" s="1" t="str" cm="1">
        <f t="array" ref="T23">_xlfn.IFS(Table1[[#This Row],[age]]&lt;=17,"CHILD",Table1[[#This Row],[age]]&lt;=35,"YOUNG ADULT",Table1[[#This Row],[age]]&lt;=55,"MIDDLE AGE",Table1[[#This Row],[age]]&gt;=56,"SENIOR")</f>
        <v>SENIOR</v>
      </c>
    </row>
    <row r="24" spans="1:20" x14ac:dyDescent="0.3">
      <c r="A24" t="s">
        <v>128</v>
      </c>
      <c r="B24" t="s">
        <v>129</v>
      </c>
      <c r="C24" t="s">
        <v>9</v>
      </c>
      <c r="D24" s="1">
        <v>45055</v>
      </c>
      <c r="E24" s="2">
        <v>0.60416666666666663</v>
      </c>
      <c r="F24" t="s">
        <v>76</v>
      </c>
      <c r="G24" t="s">
        <v>32</v>
      </c>
      <c r="H24" t="s">
        <v>77</v>
      </c>
      <c r="I24" t="s">
        <v>23</v>
      </c>
      <c r="J24" t="str">
        <f t="shared" si="0"/>
        <v>Jane Moore</v>
      </c>
      <c r="K24" t="s">
        <v>24</v>
      </c>
      <c r="L24" s="1">
        <v>35046</v>
      </c>
      <c r="M24" s="3">
        <v>30</v>
      </c>
      <c r="N24">
        <v>8715732851</v>
      </c>
      <c r="O24" t="s">
        <v>15</v>
      </c>
      <c r="P24" s="1">
        <v>44701</v>
      </c>
      <c r="Q24" t="s">
        <v>16</v>
      </c>
      <c r="R24" t="s">
        <v>130</v>
      </c>
      <c r="S24" t="s">
        <v>131</v>
      </c>
      <c r="T24" s="1" t="str" cm="1">
        <f t="array" ref="T24">_xlfn.IFS(Table1[[#This Row],[age]]&lt;=17,"CHILD",Table1[[#This Row],[age]]&lt;=35,"YOUNG ADULT",Table1[[#This Row],[age]]&lt;=55,"MIDDLE AGE",Table1[[#This Row],[age]]&gt;=56,"SENIOR")</f>
        <v>YOUNG ADULT</v>
      </c>
    </row>
    <row r="25" spans="1:20" x14ac:dyDescent="0.3">
      <c r="A25" t="s">
        <v>132</v>
      </c>
      <c r="B25" t="s">
        <v>133</v>
      </c>
      <c r="C25" t="s">
        <v>112</v>
      </c>
      <c r="D25" s="1">
        <v>45098</v>
      </c>
      <c r="E25" s="2">
        <v>0.33333333333333331</v>
      </c>
      <c r="F25" t="s">
        <v>56</v>
      </c>
      <c r="G25" t="s">
        <v>82</v>
      </c>
      <c r="H25" t="s">
        <v>63</v>
      </c>
      <c r="I25" t="s">
        <v>23</v>
      </c>
      <c r="J25" t="str">
        <f t="shared" si="0"/>
        <v>David Moore</v>
      </c>
      <c r="K25" t="s">
        <v>24</v>
      </c>
      <c r="L25" s="1">
        <v>26629</v>
      </c>
      <c r="M25" s="3">
        <v>53</v>
      </c>
      <c r="N25">
        <v>7712937941</v>
      </c>
      <c r="O25" t="s">
        <v>15</v>
      </c>
      <c r="P25" s="1">
        <v>45091</v>
      </c>
      <c r="Q25" t="s">
        <v>26</v>
      </c>
      <c r="R25" t="s">
        <v>134</v>
      </c>
      <c r="S25" t="s">
        <v>135</v>
      </c>
      <c r="T25" s="1" t="str" cm="1">
        <f t="array" ref="T25">_xlfn.IFS(Table1[[#This Row],[age]]&lt;=17,"CHILD",Table1[[#This Row],[age]]&lt;=35,"YOUNG ADULT",Table1[[#This Row],[age]]&lt;=55,"MIDDLE AGE",Table1[[#This Row],[age]]&gt;=56,"SENIOR")</f>
        <v>MIDDLE AGE</v>
      </c>
    </row>
    <row r="26" spans="1:20" x14ac:dyDescent="0.3">
      <c r="A26" t="s">
        <v>136</v>
      </c>
      <c r="B26" t="s">
        <v>137</v>
      </c>
      <c r="C26" t="s">
        <v>119</v>
      </c>
      <c r="D26" s="1">
        <v>44982</v>
      </c>
      <c r="E26" s="2">
        <v>0.33333333333333331</v>
      </c>
      <c r="F26" t="s">
        <v>76</v>
      </c>
      <c r="G26" t="s">
        <v>22</v>
      </c>
      <c r="H26" t="s">
        <v>33</v>
      </c>
      <c r="I26" t="s">
        <v>23</v>
      </c>
      <c r="J26" t="str">
        <f t="shared" si="0"/>
        <v>Emily Moore</v>
      </c>
      <c r="K26" t="s">
        <v>24</v>
      </c>
      <c r="L26" s="1">
        <v>23734</v>
      </c>
      <c r="M26" s="3">
        <v>61</v>
      </c>
      <c r="N26">
        <v>6622318721</v>
      </c>
      <c r="O26" t="s">
        <v>51</v>
      </c>
      <c r="P26" s="1">
        <v>44415</v>
      </c>
      <c r="Q26" t="s">
        <v>35</v>
      </c>
      <c r="R26" t="s">
        <v>138</v>
      </c>
      <c r="S26" t="s">
        <v>139</v>
      </c>
      <c r="T26" s="1" t="str" cm="1">
        <f t="array" ref="T26">_xlfn.IFS(Table1[[#This Row],[age]]&lt;=17,"CHILD",Table1[[#This Row],[age]]&lt;=35,"YOUNG ADULT",Table1[[#This Row],[age]]&lt;=55,"MIDDLE AGE",Table1[[#This Row],[age]]&gt;=56,"SENIOR")</f>
        <v>SENIOR</v>
      </c>
    </row>
    <row r="27" spans="1:20" x14ac:dyDescent="0.3">
      <c r="A27" t="s">
        <v>140</v>
      </c>
      <c r="B27" t="s">
        <v>141</v>
      </c>
      <c r="C27" t="s">
        <v>40</v>
      </c>
      <c r="D27" s="1">
        <v>45002</v>
      </c>
      <c r="E27" s="2">
        <v>0.59375</v>
      </c>
      <c r="F27" t="s">
        <v>76</v>
      </c>
      <c r="G27" t="s">
        <v>32</v>
      </c>
      <c r="H27" t="s">
        <v>70</v>
      </c>
      <c r="I27" t="s">
        <v>71</v>
      </c>
      <c r="J27" t="str">
        <f t="shared" si="0"/>
        <v>Michael Taylor</v>
      </c>
      <c r="K27" t="s">
        <v>14</v>
      </c>
      <c r="L27" s="1">
        <v>31656</v>
      </c>
      <c r="M27" s="3">
        <v>40</v>
      </c>
      <c r="N27">
        <v>8019925828</v>
      </c>
      <c r="O27" t="s">
        <v>51</v>
      </c>
      <c r="P27" s="1">
        <v>44408</v>
      </c>
      <c r="Q27" t="s">
        <v>26</v>
      </c>
      <c r="R27" t="s">
        <v>142</v>
      </c>
      <c r="S27" t="s">
        <v>73</v>
      </c>
      <c r="T27" s="1" t="str" cm="1">
        <f t="array" ref="T27">_xlfn.IFS(Table1[[#This Row],[age]]&lt;=17,"CHILD",Table1[[#This Row],[age]]&lt;=35,"YOUNG ADULT",Table1[[#This Row],[age]]&lt;=55,"MIDDLE AGE",Table1[[#This Row],[age]]&gt;=56,"SENIOR")</f>
        <v>MIDDLE AGE</v>
      </c>
    </row>
    <row r="28" spans="1:20" x14ac:dyDescent="0.3">
      <c r="A28" t="s">
        <v>143</v>
      </c>
      <c r="B28" t="s">
        <v>81</v>
      </c>
      <c r="C28" t="s">
        <v>144</v>
      </c>
      <c r="D28" s="1">
        <v>45244</v>
      </c>
      <c r="E28" s="2">
        <v>0.53125</v>
      </c>
      <c r="F28" t="s">
        <v>10</v>
      </c>
      <c r="G28" t="s">
        <v>11</v>
      </c>
      <c r="H28" t="s">
        <v>63</v>
      </c>
      <c r="I28" t="s">
        <v>42</v>
      </c>
      <c r="J28" t="str">
        <f t="shared" si="0"/>
        <v>David Wilson</v>
      </c>
      <c r="K28" t="s">
        <v>24</v>
      </c>
      <c r="L28" s="1">
        <v>22090</v>
      </c>
      <c r="M28" s="3">
        <v>66</v>
      </c>
      <c r="N28">
        <v>7734463155</v>
      </c>
      <c r="O28" t="s">
        <v>25</v>
      </c>
      <c r="P28" s="1">
        <v>44468</v>
      </c>
      <c r="Q28" t="s">
        <v>26</v>
      </c>
      <c r="R28" t="s">
        <v>83</v>
      </c>
      <c r="S28" t="s">
        <v>84</v>
      </c>
      <c r="T28" s="1" t="str" cm="1">
        <f t="array" ref="T28">_xlfn.IFS(Table1[[#This Row],[age]]&lt;=17,"CHILD",Table1[[#This Row],[age]]&lt;=35,"YOUNG ADULT",Table1[[#This Row],[age]]&lt;=55,"MIDDLE AGE",Table1[[#This Row],[age]]&gt;=56,"SENIOR")</f>
        <v>SENIOR</v>
      </c>
    </row>
    <row r="29" spans="1:20" x14ac:dyDescent="0.3">
      <c r="A29" t="s">
        <v>145</v>
      </c>
      <c r="B29" t="s">
        <v>103</v>
      </c>
      <c r="C29" t="s">
        <v>40</v>
      </c>
      <c r="D29" s="1">
        <v>45228</v>
      </c>
      <c r="E29" s="2">
        <v>0.64583333333333337</v>
      </c>
      <c r="F29" t="s">
        <v>56</v>
      </c>
      <c r="G29" t="s">
        <v>22</v>
      </c>
      <c r="H29" t="s">
        <v>98</v>
      </c>
      <c r="I29" t="s">
        <v>104</v>
      </c>
      <c r="J29" t="str">
        <f t="shared" si="0"/>
        <v>Laura Davis</v>
      </c>
      <c r="K29" t="s">
        <v>14</v>
      </c>
      <c r="L29" s="1">
        <v>33580</v>
      </c>
      <c r="M29" s="3">
        <v>34</v>
      </c>
      <c r="N29">
        <v>8135666049</v>
      </c>
      <c r="O29" t="s">
        <v>15</v>
      </c>
      <c r="P29" s="1">
        <v>45043</v>
      </c>
      <c r="Q29" t="s">
        <v>26</v>
      </c>
      <c r="R29" t="s">
        <v>105</v>
      </c>
      <c r="S29" t="s">
        <v>106</v>
      </c>
      <c r="T29" s="1" t="str" cm="1">
        <f t="array" ref="T29">_xlfn.IFS(Table1[[#This Row],[age]]&lt;=17,"CHILD",Table1[[#This Row],[age]]&lt;=35,"YOUNG ADULT",Table1[[#This Row],[age]]&lt;=55,"MIDDLE AGE",Table1[[#This Row],[age]]&gt;=56,"SENIOR")</f>
        <v>YOUNG ADULT</v>
      </c>
    </row>
    <row r="30" spans="1:20" x14ac:dyDescent="0.3">
      <c r="A30" t="s">
        <v>146</v>
      </c>
      <c r="B30" t="s">
        <v>68</v>
      </c>
      <c r="C30" t="s">
        <v>69</v>
      </c>
      <c r="D30" s="1">
        <v>45102</v>
      </c>
      <c r="E30" s="2">
        <v>0.60416666666666663</v>
      </c>
      <c r="F30" t="s">
        <v>56</v>
      </c>
      <c r="G30" t="s">
        <v>82</v>
      </c>
      <c r="H30" t="s">
        <v>70</v>
      </c>
      <c r="I30" t="s">
        <v>71</v>
      </c>
      <c r="J30" t="str">
        <f t="shared" si="0"/>
        <v>Michael Taylor</v>
      </c>
      <c r="K30" t="s">
        <v>24</v>
      </c>
      <c r="L30" s="1">
        <v>36729</v>
      </c>
      <c r="M30" s="3">
        <v>26</v>
      </c>
      <c r="N30">
        <v>7223380592</v>
      </c>
      <c r="O30" t="s">
        <v>64</v>
      </c>
      <c r="P30" s="1">
        <v>44400</v>
      </c>
      <c r="Q30" t="s">
        <v>35</v>
      </c>
      <c r="R30" t="s">
        <v>72</v>
      </c>
      <c r="S30" t="s">
        <v>73</v>
      </c>
      <c r="T30" s="1" t="str" cm="1">
        <f t="array" ref="T30">_xlfn.IFS(Table1[[#This Row],[age]]&lt;=17,"CHILD",Table1[[#This Row],[age]]&lt;=35,"YOUNG ADULT",Table1[[#This Row],[age]]&lt;=55,"MIDDLE AGE",Table1[[#This Row],[age]]&gt;=56,"SENIOR")</f>
        <v>YOUNG ADULT</v>
      </c>
    </row>
    <row r="31" spans="1:20" x14ac:dyDescent="0.3">
      <c r="A31" t="s">
        <v>147</v>
      </c>
      <c r="B31" t="s">
        <v>108</v>
      </c>
      <c r="C31" t="s">
        <v>144</v>
      </c>
      <c r="D31" s="1">
        <v>45167</v>
      </c>
      <c r="E31" s="2">
        <v>0.55208333333333337</v>
      </c>
      <c r="F31" t="s">
        <v>56</v>
      </c>
      <c r="G31" t="s">
        <v>82</v>
      </c>
      <c r="H31" t="s">
        <v>87</v>
      </c>
      <c r="I31" t="s">
        <v>71</v>
      </c>
      <c r="J31" t="str">
        <f t="shared" si="0"/>
        <v>John Taylor</v>
      </c>
      <c r="K31" t="s">
        <v>24</v>
      </c>
      <c r="L31" s="1">
        <v>37953</v>
      </c>
      <c r="M31" s="3">
        <v>22</v>
      </c>
      <c r="N31">
        <v>9900972256</v>
      </c>
      <c r="O31" t="s">
        <v>25</v>
      </c>
      <c r="P31" s="1">
        <v>44329</v>
      </c>
      <c r="Q31" t="s">
        <v>26</v>
      </c>
      <c r="R31" t="s">
        <v>109</v>
      </c>
      <c r="S31" t="s">
        <v>110</v>
      </c>
      <c r="T31" s="1" t="str" cm="1">
        <f t="array" ref="T31">_xlfn.IFS(Table1[[#This Row],[age]]&lt;=17,"CHILD",Table1[[#This Row],[age]]&lt;=35,"YOUNG ADULT",Table1[[#This Row],[age]]&lt;=55,"MIDDLE AGE",Table1[[#This Row],[age]]&gt;=56,"SENIOR")</f>
        <v>YOUNG ADULT</v>
      </c>
    </row>
    <row r="32" spans="1:20" x14ac:dyDescent="0.3">
      <c r="A32" t="s">
        <v>148</v>
      </c>
      <c r="B32" t="s">
        <v>108</v>
      </c>
      <c r="C32" t="s">
        <v>40</v>
      </c>
      <c r="D32" s="1">
        <v>45020</v>
      </c>
      <c r="E32" s="2">
        <v>0.4375</v>
      </c>
      <c r="F32" t="s">
        <v>56</v>
      </c>
      <c r="G32" t="s">
        <v>82</v>
      </c>
      <c r="H32" t="s">
        <v>87</v>
      </c>
      <c r="I32" t="s">
        <v>71</v>
      </c>
      <c r="J32" t="str">
        <f t="shared" si="0"/>
        <v>John Taylor</v>
      </c>
      <c r="K32" t="s">
        <v>24</v>
      </c>
      <c r="L32" s="1">
        <v>37953</v>
      </c>
      <c r="M32" s="3">
        <v>22</v>
      </c>
      <c r="N32">
        <v>9900972256</v>
      </c>
      <c r="O32" t="s">
        <v>25</v>
      </c>
      <c r="P32" s="1">
        <v>44329</v>
      </c>
      <c r="Q32" t="s">
        <v>26</v>
      </c>
      <c r="R32" t="s">
        <v>109</v>
      </c>
      <c r="S32" t="s">
        <v>110</v>
      </c>
      <c r="T32" s="1" t="str" cm="1">
        <f t="array" ref="T32">_xlfn.IFS(Table1[[#This Row],[age]]&lt;=17,"CHILD",Table1[[#This Row],[age]]&lt;=35,"YOUNG ADULT",Table1[[#This Row],[age]]&lt;=55,"MIDDLE AGE",Table1[[#This Row],[age]]&gt;=56,"SENIOR")</f>
        <v>YOUNG ADULT</v>
      </c>
    </row>
    <row r="33" spans="1:20" x14ac:dyDescent="0.3">
      <c r="A33" t="s">
        <v>149</v>
      </c>
      <c r="B33" t="s">
        <v>30</v>
      </c>
      <c r="C33" t="s">
        <v>144</v>
      </c>
      <c r="D33" s="1">
        <v>45236</v>
      </c>
      <c r="E33" s="2">
        <v>0.44791666666666669</v>
      </c>
      <c r="F33" t="s">
        <v>56</v>
      </c>
      <c r="G33" t="s">
        <v>11</v>
      </c>
      <c r="H33" t="s">
        <v>33</v>
      </c>
      <c r="I33" t="s">
        <v>34</v>
      </c>
      <c r="J33" t="str">
        <f t="shared" si="0"/>
        <v>Emily Miller</v>
      </c>
      <c r="K33" t="s">
        <v>24</v>
      </c>
      <c r="L33" s="1">
        <v>30399</v>
      </c>
      <c r="M33" s="3">
        <v>43</v>
      </c>
      <c r="N33">
        <v>8720989381</v>
      </c>
      <c r="O33" t="s">
        <v>25</v>
      </c>
      <c r="P33" s="1">
        <v>45096</v>
      </c>
      <c r="Q33" t="s">
        <v>35</v>
      </c>
      <c r="R33" t="s">
        <v>36</v>
      </c>
      <c r="S33" t="s">
        <v>37</v>
      </c>
      <c r="T33" s="1" t="str" cm="1">
        <f t="array" ref="T33">_xlfn.IFS(Table1[[#This Row],[age]]&lt;=17,"CHILD",Table1[[#This Row],[age]]&lt;=35,"YOUNG ADULT",Table1[[#This Row],[age]]&lt;=55,"MIDDLE AGE",Table1[[#This Row],[age]]&gt;=56,"SENIOR")</f>
        <v>MIDDLE AGE</v>
      </c>
    </row>
    <row r="34" spans="1:20" x14ac:dyDescent="0.3">
      <c r="A34" t="s">
        <v>150</v>
      </c>
      <c r="B34" t="s">
        <v>151</v>
      </c>
      <c r="C34" t="s">
        <v>144</v>
      </c>
      <c r="D34" s="1">
        <v>45192</v>
      </c>
      <c r="E34" s="2">
        <v>0.73958333333333337</v>
      </c>
      <c r="F34" t="s">
        <v>10</v>
      </c>
      <c r="G34" t="s">
        <v>22</v>
      </c>
      <c r="H34" t="s">
        <v>70</v>
      </c>
      <c r="I34" t="s">
        <v>42</v>
      </c>
      <c r="J34" t="str">
        <f t="shared" si="0"/>
        <v>Michael Wilson</v>
      </c>
      <c r="K34" t="s">
        <v>24</v>
      </c>
      <c r="L34" s="1">
        <v>37316</v>
      </c>
      <c r="M34" s="3">
        <v>24</v>
      </c>
      <c r="N34">
        <v>7765390555</v>
      </c>
      <c r="O34" t="s">
        <v>15</v>
      </c>
      <c r="P34" s="1">
        <v>44580</v>
      </c>
      <c r="Q34" t="s">
        <v>16</v>
      </c>
      <c r="R34" t="s">
        <v>152</v>
      </c>
      <c r="S34" t="s">
        <v>153</v>
      </c>
      <c r="T34" s="1" t="str" cm="1">
        <f t="array" ref="T34">_xlfn.IFS(Table1[[#This Row],[age]]&lt;=17,"CHILD",Table1[[#This Row],[age]]&lt;=35,"YOUNG ADULT",Table1[[#This Row],[age]]&lt;=55,"MIDDLE AGE",Table1[[#This Row],[age]]&gt;=56,"SENIOR")</f>
        <v>YOUNG ADULT</v>
      </c>
    </row>
    <row r="35" spans="1:20" x14ac:dyDescent="0.3">
      <c r="A35" t="s">
        <v>154</v>
      </c>
      <c r="B35" t="s">
        <v>75</v>
      </c>
      <c r="C35" t="s">
        <v>21</v>
      </c>
      <c r="D35" s="1">
        <v>45090</v>
      </c>
      <c r="E35" s="2">
        <v>0.47916666666666669</v>
      </c>
      <c r="F35" t="s">
        <v>31</v>
      </c>
      <c r="G35" t="s">
        <v>22</v>
      </c>
      <c r="H35" t="s">
        <v>77</v>
      </c>
      <c r="I35" t="s">
        <v>42</v>
      </c>
      <c r="J35" t="str">
        <f t="shared" si="0"/>
        <v>Jane Wilson</v>
      </c>
      <c r="K35" t="s">
        <v>14</v>
      </c>
      <c r="L35" s="1">
        <v>18609</v>
      </c>
      <c r="M35" s="3">
        <v>75</v>
      </c>
      <c r="N35">
        <v>9271131338</v>
      </c>
      <c r="O35" t="s">
        <v>64</v>
      </c>
      <c r="P35" s="1">
        <v>44264</v>
      </c>
      <c r="Q35" t="s">
        <v>35</v>
      </c>
      <c r="R35" t="s">
        <v>78</v>
      </c>
      <c r="S35" t="s">
        <v>79</v>
      </c>
      <c r="T35" s="1" t="str" cm="1">
        <f t="array" ref="T35">_xlfn.IFS(Table1[[#This Row],[age]]&lt;=17,"CHILD",Table1[[#This Row],[age]]&lt;=35,"YOUNG ADULT",Table1[[#This Row],[age]]&lt;=55,"MIDDLE AGE",Table1[[#This Row],[age]]&gt;=56,"SENIOR")</f>
        <v>SENIOR</v>
      </c>
    </row>
    <row r="36" spans="1:20" x14ac:dyDescent="0.3">
      <c r="A36" t="s">
        <v>155</v>
      </c>
      <c r="B36" t="s">
        <v>156</v>
      </c>
      <c r="C36" t="s">
        <v>48</v>
      </c>
      <c r="D36" s="1">
        <v>45034</v>
      </c>
      <c r="E36" s="2">
        <v>0.36458333333333331</v>
      </c>
      <c r="F36" t="s">
        <v>76</v>
      </c>
      <c r="G36" t="s">
        <v>11</v>
      </c>
      <c r="H36" t="s">
        <v>70</v>
      </c>
      <c r="I36" t="s">
        <v>42</v>
      </c>
      <c r="J36" t="str">
        <f t="shared" si="0"/>
        <v>Michael Wilson</v>
      </c>
      <c r="K36" t="s">
        <v>24</v>
      </c>
      <c r="L36" s="1">
        <v>35790</v>
      </c>
      <c r="M36" s="3">
        <v>28</v>
      </c>
      <c r="N36">
        <v>8545613046</v>
      </c>
      <c r="O36" t="s">
        <v>25</v>
      </c>
      <c r="P36" s="1">
        <v>44838</v>
      </c>
      <c r="Q36" t="s">
        <v>26</v>
      </c>
      <c r="R36" t="s">
        <v>157</v>
      </c>
      <c r="S36" t="s">
        <v>153</v>
      </c>
      <c r="T36" s="1" t="str" cm="1">
        <f t="array" ref="T36">_xlfn.IFS(Table1[[#This Row],[age]]&lt;=17,"CHILD",Table1[[#This Row],[age]]&lt;=35,"YOUNG ADULT",Table1[[#This Row],[age]]&lt;=55,"MIDDLE AGE",Table1[[#This Row],[age]]&gt;=56,"SENIOR")</f>
        <v>YOUNG ADULT</v>
      </c>
    </row>
    <row r="37" spans="1:20" x14ac:dyDescent="0.3">
      <c r="A37" t="s">
        <v>158</v>
      </c>
      <c r="B37" t="s">
        <v>159</v>
      </c>
      <c r="C37" t="s">
        <v>48</v>
      </c>
      <c r="D37" s="1">
        <v>44934</v>
      </c>
      <c r="E37" s="2">
        <v>0.60416666666666663</v>
      </c>
      <c r="F37" t="s">
        <v>56</v>
      </c>
      <c r="G37" t="s">
        <v>22</v>
      </c>
      <c r="H37" t="s">
        <v>70</v>
      </c>
      <c r="I37" t="s">
        <v>42</v>
      </c>
      <c r="J37" t="str">
        <f t="shared" si="0"/>
        <v>Michael Wilson</v>
      </c>
      <c r="K37" t="s">
        <v>14</v>
      </c>
      <c r="L37" s="1">
        <v>25605</v>
      </c>
      <c r="M37" s="3">
        <v>56</v>
      </c>
      <c r="N37">
        <v>7923214041</v>
      </c>
      <c r="O37" t="s">
        <v>64</v>
      </c>
      <c r="P37" s="1">
        <v>45175</v>
      </c>
      <c r="Q37" t="s">
        <v>26</v>
      </c>
      <c r="R37" t="s">
        <v>160</v>
      </c>
      <c r="S37" t="s">
        <v>153</v>
      </c>
      <c r="T37" s="1" t="str" cm="1">
        <f t="array" ref="T37">_xlfn.IFS(Table1[[#This Row],[age]]&lt;=17,"CHILD",Table1[[#This Row],[age]]&lt;=35,"YOUNG ADULT",Table1[[#This Row],[age]]&lt;=55,"MIDDLE AGE",Table1[[#This Row],[age]]&gt;=56,"SENIOR")</f>
        <v>SENIOR</v>
      </c>
    </row>
    <row r="38" spans="1:20" x14ac:dyDescent="0.3">
      <c r="A38" t="s">
        <v>161</v>
      </c>
      <c r="B38" t="s">
        <v>137</v>
      </c>
      <c r="C38" t="s">
        <v>21</v>
      </c>
      <c r="D38" s="1">
        <v>45013</v>
      </c>
      <c r="E38" s="2">
        <v>0.45833333333333331</v>
      </c>
      <c r="F38" t="s">
        <v>31</v>
      </c>
      <c r="G38" t="s">
        <v>11</v>
      </c>
      <c r="H38" t="s">
        <v>33</v>
      </c>
      <c r="I38" t="s">
        <v>23</v>
      </c>
      <c r="J38" t="str">
        <f t="shared" si="0"/>
        <v>Emily Moore</v>
      </c>
      <c r="K38" t="s">
        <v>24</v>
      </c>
      <c r="L38" s="1">
        <v>23734</v>
      </c>
      <c r="M38" s="3">
        <v>61</v>
      </c>
      <c r="N38">
        <v>6622318721</v>
      </c>
      <c r="O38" t="s">
        <v>51</v>
      </c>
      <c r="P38" s="1">
        <v>44415</v>
      </c>
      <c r="Q38" t="s">
        <v>35</v>
      </c>
      <c r="R38" t="s">
        <v>138</v>
      </c>
      <c r="S38" t="s">
        <v>139</v>
      </c>
      <c r="T38" s="1" t="str" cm="1">
        <f t="array" ref="T38">_xlfn.IFS(Table1[[#This Row],[age]]&lt;=17,"CHILD",Table1[[#This Row],[age]]&lt;=35,"YOUNG ADULT",Table1[[#This Row],[age]]&lt;=55,"MIDDLE AGE",Table1[[#This Row],[age]]&gt;=56,"SENIOR")</f>
        <v>SENIOR</v>
      </c>
    </row>
    <row r="39" spans="1:20" x14ac:dyDescent="0.3">
      <c r="A39" t="s">
        <v>162</v>
      </c>
      <c r="B39" t="s">
        <v>114</v>
      </c>
      <c r="C39" t="s">
        <v>9</v>
      </c>
      <c r="D39" s="1">
        <v>44980</v>
      </c>
      <c r="E39" s="2">
        <v>0.54166666666666663</v>
      </c>
      <c r="F39" t="s">
        <v>31</v>
      </c>
      <c r="G39" t="s">
        <v>11</v>
      </c>
      <c r="H39" t="s">
        <v>41</v>
      </c>
      <c r="I39" t="s">
        <v>50</v>
      </c>
      <c r="J39" t="str">
        <f t="shared" si="0"/>
        <v>Robert Williams</v>
      </c>
      <c r="K39" t="s">
        <v>24</v>
      </c>
      <c r="L39" s="1">
        <v>36196</v>
      </c>
      <c r="M39" s="3">
        <v>27</v>
      </c>
      <c r="N39">
        <v>8886800195</v>
      </c>
      <c r="O39" t="s">
        <v>51</v>
      </c>
      <c r="P39" s="1">
        <v>44469</v>
      </c>
      <c r="Q39" t="s">
        <v>43</v>
      </c>
      <c r="R39" t="s">
        <v>115</v>
      </c>
      <c r="S39" t="s">
        <v>116</v>
      </c>
      <c r="T39" s="1" t="str" cm="1">
        <f t="array" ref="T39">_xlfn.IFS(Table1[[#This Row],[age]]&lt;=17,"CHILD",Table1[[#This Row],[age]]&lt;=35,"YOUNG ADULT",Table1[[#This Row],[age]]&lt;=55,"MIDDLE AGE",Table1[[#This Row],[age]]&gt;=56,"SENIOR")</f>
        <v>YOUNG ADULT</v>
      </c>
    </row>
    <row r="40" spans="1:20" x14ac:dyDescent="0.3">
      <c r="A40" t="s">
        <v>163</v>
      </c>
      <c r="B40" t="s">
        <v>164</v>
      </c>
      <c r="C40" t="s">
        <v>97</v>
      </c>
      <c r="D40" s="1">
        <v>45033</v>
      </c>
      <c r="E40" s="2">
        <v>0.33333333333333331</v>
      </c>
      <c r="F40" t="s">
        <v>76</v>
      </c>
      <c r="G40" t="s">
        <v>11</v>
      </c>
      <c r="H40" t="s">
        <v>57</v>
      </c>
      <c r="I40" t="s">
        <v>165</v>
      </c>
      <c r="J40" t="str">
        <f t="shared" si="0"/>
        <v>Linda Johnson</v>
      </c>
      <c r="K40" t="s">
        <v>24</v>
      </c>
      <c r="L40" s="1">
        <v>34387</v>
      </c>
      <c r="M40" s="3">
        <v>32</v>
      </c>
      <c r="N40">
        <v>6141951830</v>
      </c>
      <c r="O40" t="s">
        <v>64</v>
      </c>
      <c r="P40" s="1">
        <v>44557</v>
      </c>
      <c r="Q40" t="s">
        <v>16</v>
      </c>
      <c r="R40" t="s">
        <v>166</v>
      </c>
      <c r="S40" t="s">
        <v>167</v>
      </c>
      <c r="T40" s="1" t="str" cm="1">
        <f t="array" ref="T40">_xlfn.IFS(Table1[[#This Row],[age]]&lt;=17,"CHILD",Table1[[#This Row],[age]]&lt;=35,"YOUNG ADULT",Table1[[#This Row],[age]]&lt;=55,"MIDDLE AGE",Table1[[#This Row],[age]]&gt;=56,"SENIOR")</f>
        <v>YOUNG ADULT</v>
      </c>
    </row>
    <row r="41" spans="1:20" x14ac:dyDescent="0.3">
      <c r="A41" t="s">
        <v>168</v>
      </c>
      <c r="B41" t="s">
        <v>169</v>
      </c>
      <c r="C41" t="s">
        <v>9</v>
      </c>
      <c r="D41" s="1">
        <v>45012</v>
      </c>
      <c r="E41" s="2">
        <v>0.52083333333333337</v>
      </c>
      <c r="F41" t="s">
        <v>10</v>
      </c>
      <c r="G41" t="s">
        <v>82</v>
      </c>
      <c r="H41" t="s">
        <v>70</v>
      </c>
      <c r="I41" t="s">
        <v>71</v>
      </c>
      <c r="J41" t="str">
        <f t="shared" si="0"/>
        <v>Michael Taylor</v>
      </c>
      <c r="K41" t="s">
        <v>24</v>
      </c>
      <c r="L41" s="1">
        <v>37177</v>
      </c>
      <c r="M41" s="3">
        <v>24</v>
      </c>
      <c r="N41">
        <v>7081396733</v>
      </c>
      <c r="O41" t="s">
        <v>25</v>
      </c>
      <c r="P41" s="1">
        <v>44797</v>
      </c>
      <c r="Q41" t="s">
        <v>16</v>
      </c>
      <c r="R41" t="s">
        <v>170</v>
      </c>
      <c r="S41" t="s">
        <v>73</v>
      </c>
      <c r="T41" s="1" t="str" cm="1">
        <f t="array" ref="T41">_xlfn.IFS(Table1[[#This Row],[age]]&lt;=17,"CHILD",Table1[[#This Row],[age]]&lt;=35,"YOUNG ADULT",Table1[[#This Row],[age]]&lt;=55,"MIDDLE AGE",Table1[[#This Row],[age]]&gt;=56,"SENIOR")</f>
        <v>YOUNG ADULT</v>
      </c>
    </row>
    <row r="42" spans="1:20" x14ac:dyDescent="0.3">
      <c r="A42" t="s">
        <v>171</v>
      </c>
      <c r="B42" t="s">
        <v>81</v>
      </c>
      <c r="C42" t="s">
        <v>119</v>
      </c>
      <c r="D42" s="1">
        <v>44927</v>
      </c>
      <c r="E42" s="2">
        <v>0.58333333333333337</v>
      </c>
      <c r="F42" t="s">
        <v>49</v>
      </c>
      <c r="G42" t="s">
        <v>22</v>
      </c>
      <c r="H42" t="s">
        <v>63</v>
      </c>
      <c r="I42" t="s">
        <v>42</v>
      </c>
      <c r="J42" t="str">
        <f t="shared" si="0"/>
        <v>David Wilson</v>
      </c>
      <c r="K42" t="s">
        <v>24</v>
      </c>
      <c r="L42" s="1">
        <v>22090</v>
      </c>
      <c r="M42" s="3">
        <v>66</v>
      </c>
      <c r="N42">
        <v>7734463155</v>
      </c>
      <c r="O42" t="s">
        <v>25</v>
      </c>
      <c r="P42" s="1">
        <v>44468</v>
      </c>
      <c r="Q42" t="s">
        <v>26</v>
      </c>
      <c r="R42" t="s">
        <v>83</v>
      </c>
      <c r="S42" t="s">
        <v>84</v>
      </c>
      <c r="T42" s="1" t="str" cm="1">
        <f t="array" ref="T42">_xlfn.IFS(Table1[[#This Row],[age]]&lt;=17,"CHILD",Table1[[#This Row],[age]]&lt;=35,"YOUNG ADULT",Table1[[#This Row],[age]]&lt;=55,"MIDDLE AGE",Table1[[#This Row],[age]]&gt;=56,"SENIOR")</f>
        <v>SENIOR</v>
      </c>
    </row>
    <row r="43" spans="1:20" x14ac:dyDescent="0.3">
      <c r="A43" t="s">
        <v>172</v>
      </c>
      <c r="B43" t="s">
        <v>156</v>
      </c>
      <c r="C43" t="s">
        <v>119</v>
      </c>
      <c r="D43" s="1">
        <v>45006</v>
      </c>
      <c r="E43" s="2">
        <v>0.46875</v>
      </c>
      <c r="F43" t="s">
        <v>49</v>
      </c>
      <c r="G43" t="s">
        <v>11</v>
      </c>
      <c r="H43" t="s">
        <v>70</v>
      </c>
      <c r="I43" t="s">
        <v>42</v>
      </c>
      <c r="J43" t="str">
        <f t="shared" si="0"/>
        <v>Michael Wilson</v>
      </c>
      <c r="K43" t="s">
        <v>24</v>
      </c>
      <c r="L43" s="1">
        <v>35790</v>
      </c>
      <c r="M43" s="3">
        <v>28</v>
      </c>
      <c r="N43">
        <v>8545613046</v>
      </c>
      <c r="O43" t="s">
        <v>25</v>
      </c>
      <c r="P43" s="1">
        <v>44838</v>
      </c>
      <c r="Q43" t="s">
        <v>26</v>
      </c>
      <c r="R43" t="s">
        <v>157</v>
      </c>
      <c r="S43" t="s">
        <v>153</v>
      </c>
      <c r="T43" s="1" t="str" cm="1">
        <f t="array" ref="T43">_xlfn.IFS(Table1[[#This Row],[age]]&lt;=17,"CHILD",Table1[[#This Row],[age]]&lt;=35,"YOUNG ADULT",Table1[[#This Row],[age]]&lt;=55,"MIDDLE AGE",Table1[[#This Row],[age]]&gt;=56,"SENIOR")</f>
        <v>YOUNG ADULT</v>
      </c>
    </row>
    <row r="44" spans="1:20" x14ac:dyDescent="0.3">
      <c r="A44" t="s">
        <v>173</v>
      </c>
      <c r="B44" t="s">
        <v>8</v>
      </c>
      <c r="C44" t="s">
        <v>144</v>
      </c>
      <c r="D44" s="1">
        <v>45014</v>
      </c>
      <c r="E44" s="2">
        <v>0.38541666666666669</v>
      </c>
      <c r="F44" t="s">
        <v>31</v>
      </c>
      <c r="G44" t="s">
        <v>22</v>
      </c>
      <c r="H44" t="s">
        <v>12</v>
      </c>
      <c r="I44" t="s">
        <v>13</v>
      </c>
      <c r="J44" t="str">
        <f t="shared" si="0"/>
        <v>Alex Smith</v>
      </c>
      <c r="K44" t="s">
        <v>14</v>
      </c>
      <c r="L44" s="1">
        <v>18289</v>
      </c>
      <c r="M44" s="3">
        <v>76</v>
      </c>
      <c r="N44">
        <v>8374657733</v>
      </c>
      <c r="O44" t="s">
        <v>15</v>
      </c>
      <c r="P44" s="1">
        <v>45095</v>
      </c>
      <c r="Q44" t="s">
        <v>16</v>
      </c>
      <c r="R44" t="s">
        <v>17</v>
      </c>
      <c r="S44" t="s">
        <v>18</v>
      </c>
      <c r="T44" s="1" t="str" cm="1">
        <f t="array" ref="T44">_xlfn.IFS(Table1[[#This Row],[age]]&lt;=17,"CHILD",Table1[[#This Row],[age]]&lt;=35,"YOUNG ADULT",Table1[[#This Row],[age]]&lt;=55,"MIDDLE AGE",Table1[[#This Row],[age]]&gt;=56,"SENIOR")</f>
        <v>SENIOR</v>
      </c>
    </row>
    <row r="45" spans="1:20" x14ac:dyDescent="0.3">
      <c r="A45" t="s">
        <v>174</v>
      </c>
      <c r="B45" t="s">
        <v>175</v>
      </c>
      <c r="C45" t="s">
        <v>40</v>
      </c>
      <c r="D45" s="1">
        <v>45189</v>
      </c>
      <c r="E45" s="2">
        <v>0.52083333333333337</v>
      </c>
      <c r="F45" t="s">
        <v>76</v>
      </c>
      <c r="G45" t="s">
        <v>82</v>
      </c>
      <c r="H45" t="s">
        <v>41</v>
      </c>
      <c r="I45" t="s">
        <v>34</v>
      </c>
      <c r="J45" t="str">
        <f t="shared" si="0"/>
        <v>Robert Miller</v>
      </c>
      <c r="K45" t="s">
        <v>24</v>
      </c>
      <c r="L45" s="1">
        <v>31791</v>
      </c>
      <c r="M45" s="3">
        <v>39</v>
      </c>
      <c r="N45">
        <v>8280346676</v>
      </c>
      <c r="O45" t="s">
        <v>15</v>
      </c>
      <c r="P45" s="1">
        <v>44740</v>
      </c>
      <c r="Q45" t="s">
        <v>16</v>
      </c>
      <c r="R45" t="s">
        <v>176</v>
      </c>
      <c r="S45" t="s">
        <v>177</v>
      </c>
      <c r="T45" s="1" t="str" cm="1">
        <f t="array" ref="T45">_xlfn.IFS(Table1[[#This Row],[age]]&lt;=17,"CHILD",Table1[[#This Row],[age]]&lt;=35,"YOUNG ADULT",Table1[[#This Row],[age]]&lt;=55,"MIDDLE AGE",Table1[[#This Row],[age]]&gt;=56,"SENIOR")</f>
        <v>MIDDLE AGE</v>
      </c>
    </row>
    <row r="46" spans="1:20" x14ac:dyDescent="0.3">
      <c r="A46" t="s">
        <v>178</v>
      </c>
      <c r="B46" t="s">
        <v>169</v>
      </c>
      <c r="C46" t="s">
        <v>40</v>
      </c>
      <c r="D46" s="1">
        <v>45197</v>
      </c>
      <c r="E46" s="2">
        <v>0.70833333333333337</v>
      </c>
      <c r="F46" t="s">
        <v>49</v>
      </c>
      <c r="G46" t="s">
        <v>11</v>
      </c>
      <c r="H46" t="s">
        <v>70</v>
      </c>
      <c r="I46" t="s">
        <v>71</v>
      </c>
      <c r="J46" t="str">
        <f t="shared" si="0"/>
        <v>Michael Taylor</v>
      </c>
      <c r="K46" t="s">
        <v>24</v>
      </c>
      <c r="L46" s="1">
        <v>37177</v>
      </c>
      <c r="M46" s="3">
        <v>24</v>
      </c>
      <c r="N46">
        <v>7081396733</v>
      </c>
      <c r="O46" t="s">
        <v>25</v>
      </c>
      <c r="P46" s="1">
        <v>44797</v>
      </c>
      <c r="Q46" t="s">
        <v>16</v>
      </c>
      <c r="R46" t="s">
        <v>170</v>
      </c>
      <c r="S46" t="s">
        <v>73</v>
      </c>
      <c r="T46" s="1" t="str" cm="1">
        <f t="array" ref="T46">_xlfn.IFS(Table1[[#This Row],[age]]&lt;=17,"CHILD",Table1[[#This Row],[age]]&lt;=35,"YOUNG ADULT",Table1[[#This Row],[age]]&lt;=55,"MIDDLE AGE",Table1[[#This Row],[age]]&gt;=56,"SENIOR")</f>
        <v>YOUNG ADULT</v>
      </c>
    </row>
    <row r="47" spans="1:20" x14ac:dyDescent="0.3">
      <c r="A47" t="s">
        <v>179</v>
      </c>
      <c r="B47" t="s">
        <v>180</v>
      </c>
      <c r="C47" t="s">
        <v>48</v>
      </c>
      <c r="D47" s="1">
        <v>45280</v>
      </c>
      <c r="E47" s="2">
        <v>0.55208333333333337</v>
      </c>
      <c r="F47" t="s">
        <v>31</v>
      </c>
      <c r="G47" t="s">
        <v>32</v>
      </c>
      <c r="H47" t="s">
        <v>181</v>
      </c>
      <c r="I47" t="s">
        <v>34</v>
      </c>
      <c r="J47" t="str">
        <f t="shared" si="0"/>
        <v>Sarah Miller</v>
      </c>
      <c r="K47" t="s">
        <v>24</v>
      </c>
      <c r="L47" s="1">
        <v>27538</v>
      </c>
      <c r="M47" s="3">
        <v>51</v>
      </c>
      <c r="N47">
        <v>8618058864</v>
      </c>
      <c r="O47" t="s">
        <v>64</v>
      </c>
      <c r="P47" s="1">
        <v>45101</v>
      </c>
      <c r="Q47" t="s">
        <v>16</v>
      </c>
      <c r="R47" t="s">
        <v>182</v>
      </c>
      <c r="S47" t="s">
        <v>183</v>
      </c>
      <c r="T47" s="1" t="str" cm="1">
        <f t="array" ref="T47">_xlfn.IFS(Table1[[#This Row],[age]]&lt;=17,"CHILD",Table1[[#This Row],[age]]&lt;=35,"YOUNG ADULT",Table1[[#This Row],[age]]&lt;=55,"MIDDLE AGE",Table1[[#This Row],[age]]&gt;=56,"SENIOR")</f>
        <v>MIDDLE AGE</v>
      </c>
    </row>
    <row r="48" spans="1:20" x14ac:dyDescent="0.3">
      <c r="A48" t="s">
        <v>184</v>
      </c>
      <c r="B48" t="s">
        <v>20</v>
      </c>
      <c r="C48" t="s">
        <v>62</v>
      </c>
      <c r="D48" s="1">
        <v>45048</v>
      </c>
      <c r="E48" s="2">
        <v>0.45833333333333331</v>
      </c>
      <c r="F48" t="s">
        <v>10</v>
      </c>
      <c r="G48" t="s">
        <v>82</v>
      </c>
      <c r="H48" t="s">
        <v>12</v>
      </c>
      <c r="I48" t="s">
        <v>23</v>
      </c>
      <c r="J48" t="str">
        <f t="shared" si="0"/>
        <v>Alex Moore</v>
      </c>
      <c r="K48" t="s">
        <v>24</v>
      </c>
      <c r="L48" s="1">
        <v>29594</v>
      </c>
      <c r="M48" s="3">
        <v>45</v>
      </c>
      <c r="N48">
        <v>8102183595</v>
      </c>
      <c r="O48" t="s">
        <v>25</v>
      </c>
      <c r="P48" s="1">
        <v>44471</v>
      </c>
      <c r="Q48" t="s">
        <v>26</v>
      </c>
      <c r="R48" t="s">
        <v>27</v>
      </c>
      <c r="S48" t="s">
        <v>28</v>
      </c>
      <c r="T48" s="1" t="str" cm="1">
        <f t="array" ref="T48">_xlfn.IFS(Table1[[#This Row],[age]]&lt;=17,"CHILD",Table1[[#This Row],[age]]&lt;=35,"YOUNG ADULT",Table1[[#This Row],[age]]&lt;=55,"MIDDLE AGE",Table1[[#This Row],[age]]&gt;=56,"SENIOR")</f>
        <v>MIDDLE AGE</v>
      </c>
    </row>
    <row r="49" spans="1:20" x14ac:dyDescent="0.3">
      <c r="A49" t="s">
        <v>185</v>
      </c>
      <c r="B49" t="s">
        <v>61</v>
      </c>
      <c r="C49" t="s">
        <v>9</v>
      </c>
      <c r="D49" s="1">
        <v>44942</v>
      </c>
      <c r="E49" s="2">
        <v>0.65625</v>
      </c>
      <c r="F49" t="s">
        <v>49</v>
      </c>
      <c r="G49" t="s">
        <v>32</v>
      </c>
      <c r="H49" t="s">
        <v>63</v>
      </c>
      <c r="I49" t="s">
        <v>50</v>
      </c>
      <c r="J49" t="str">
        <f t="shared" si="0"/>
        <v>David Williams</v>
      </c>
      <c r="K49" t="s">
        <v>14</v>
      </c>
      <c r="L49" s="1">
        <v>20244</v>
      </c>
      <c r="M49" s="3">
        <v>71</v>
      </c>
      <c r="N49">
        <v>6939585183</v>
      </c>
      <c r="O49" t="s">
        <v>64</v>
      </c>
      <c r="P49" s="1">
        <v>44735</v>
      </c>
      <c r="Q49" t="s">
        <v>16</v>
      </c>
      <c r="R49" t="s">
        <v>65</v>
      </c>
      <c r="S49" t="s">
        <v>66</v>
      </c>
      <c r="T49" s="1" t="str" cm="1">
        <f t="array" ref="T49">_xlfn.IFS(Table1[[#This Row],[age]]&lt;=17,"CHILD",Table1[[#This Row],[age]]&lt;=35,"YOUNG ADULT",Table1[[#This Row],[age]]&lt;=55,"MIDDLE AGE",Table1[[#This Row],[age]]&gt;=56,"SENIOR")</f>
        <v>SENIOR</v>
      </c>
    </row>
    <row r="50" spans="1:20" x14ac:dyDescent="0.3">
      <c r="A50" t="s">
        <v>186</v>
      </c>
      <c r="B50" t="s">
        <v>81</v>
      </c>
      <c r="C50" t="s">
        <v>69</v>
      </c>
      <c r="D50" s="1">
        <v>45046</v>
      </c>
      <c r="E50" s="2">
        <v>0.64583333333333337</v>
      </c>
      <c r="F50" t="s">
        <v>31</v>
      </c>
      <c r="G50" t="s">
        <v>22</v>
      </c>
      <c r="H50" t="s">
        <v>63</v>
      </c>
      <c r="I50" t="s">
        <v>42</v>
      </c>
      <c r="J50" t="str">
        <f t="shared" si="0"/>
        <v>David Wilson</v>
      </c>
      <c r="K50" t="s">
        <v>24</v>
      </c>
      <c r="L50" s="1">
        <v>22090</v>
      </c>
      <c r="M50" s="3">
        <v>66</v>
      </c>
      <c r="N50">
        <v>7734463155</v>
      </c>
      <c r="O50" t="s">
        <v>25</v>
      </c>
      <c r="P50" s="1">
        <v>44468</v>
      </c>
      <c r="Q50" t="s">
        <v>26</v>
      </c>
      <c r="R50" t="s">
        <v>83</v>
      </c>
      <c r="S50" t="s">
        <v>84</v>
      </c>
      <c r="T50" s="1" t="str" cm="1">
        <f t="array" ref="T50">_xlfn.IFS(Table1[[#This Row],[age]]&lt;=17,"CHILD",Table1[[#This Row],[age]]&lt;=35,"YOUNG ADULT",Table1[[#This Row],[age]]&lt;=55,"MIDDLE AGE",Table1[[#This Row],[age]]&gt;=56,"SENIOR")</f>
        <v>SENIOR</v>
      </c>
    </row>
    <row r="51" spans="1:20" x14ac:dyDescent="0.3">
      <c r="A51" t="s">
        <v>187</v>
      </c>
      <c r="B51" t="s">
        <v>55</v>
      </c>
      <c r="C51" t="s">
        <v>112</v>
      </c>
      <c r="D51" s="1">
        <v>45154</v>
      </c>
      <c r="E51" s="2">
        <v>0.625</v>
      </c>
      <c r="F51" t="s">
        <v>31</v>
      </c>
      <c r="G51" t="s">
        <v>22</v>
      </c>
      <c r="H51" t="s">
        <v>57</v>
      </c>
      <c r="I51" t="s">
        <v>34</v>
      </c>
      <c r="J51" t="str">
        <f t="shared" si="0"/>
        <v>Linda Miller</v>
      </c>
      <c r="K51" t="s">
        <v>14</v>
      </c>
      <c r="L51" s="1">
        <v>24222</v>
      </c>
      <c r="M51" s="3">
        <v>60</v>
      </c>
      <c r="N51">
        <v>7579616535</v>
      </c>
      <c r="O51" t="s">
        <v>15</v>
      </c>
      <c r="P51" s="1">
        <v>44219</v>
      </c>
      <c r="Q51" t="s">
        <v>26</v>
      </c>
      <c r="R51" t="s">
        <v>58</v>
      </c>
      <c r="S51" t="s">
        <v>59</v>
      </c>
      <c r="T51" s="1" t="str" cm="1">
        <f t="array" ref="T51">_xlfn.IFS(Table1[[#This Row],[age]]&lt;=17,"CHILD",Table1[[#This Row],[age]]&lt;=35,"YOUNG ADULT",Table1[[#This Row],[age]]&lt;=55,"MIDDLE AGE",Table1[[#This Row],[age]]&gt;=56,"SENIOR")</f>
        <v>SENIOR</v>
      </c>
    </row>
    <row r="52" spans="1:20" x14ac:dyDescent="0.3">
      <c r="A52" t="s">
        <v>188</v>
      </c>
      <c r="B52" t="s">
        <v>189</v>
      </c>
      <c r="C52" t="s">
        <v>40</v>
      </c>
      <c r="D52" s="1">
        <v>44961</v>
      </c>
      <c r="E52" s="2">
        <v>0.48958333333333331</v>
      </c>
      <c r="F52" t="s">
        <v>56</v>
      </c>
      <c r="G52" t="s">
        <v>82</v>
      </c>
      <c r="H52" t="s">
        <v>70</v>
      </c>
      <c r="I52" t="s">
        <v>165</v>
      </c>
      <c r="J52" t="str">
        <f t="shared" si="0"/>
        <v>Michael Johnson</v>
      </c>
      <c r="K52" t="s">
        <v>14</v>
      </c>
      <c r="L52" s="1">
        <v>29637</v>
      </c>
      <c r="M52" s="3">
        <v>45</v>
      </c>
      <c r="N52">
        <v>9019443432</v>
      </c>
      <c r="O52" t="s">
        <v>25</v>
      </c>
      <c r="P52" s="1">
        <v>44257</v>
      </c>
      <c r="Q52" t="s">
        <v>43</v>
      </c>
      <c r="R52" t="s">
        <v>190</v>
      </c>
      <c r="S52" t="s">
        <v>191</v>
      </c>
      <c r="T52" s="1" t="str" cm="1">
        <f t="array" ref="T52">_xlfn.IFS(Table1[[#This Row],[age]]&lt;=17,"CHILD",Table1[[#This Row],[age]]&lt;=35,"YOUNG ADULT",Table1[[#This Row],[age]]&lt;=55,"MIDDLE AGE",Table1[[#This Row],[age]]&gt;=56,"SENIOR")</f>
        <v>MIDDLE AGE</v>
      </c>
    </row>
    <row r="53" spans="1:20" x14ac:dyDescent="0.3">
      <c r="A53" t="s">
        <v>192</v>
      </c>
      <c r="B53" t="s">
        <v>68</v>
      </c>
      <c r="C53" t="s">
        <v>112</v>
      </c>
      <c r="D53" s="1">
        <v>45119</v>
      </c>
      <c r="E53" s="2">
        <v>0.39583333333333331</v>
      </c>
      <c r="F53" t="s">
        <v>10</v>
      </c>
      <c r="G53" t="s">
        <v>22</v>
      </c>
      <c r="H53" t="s">
        <v>70</v>
      </c>
      <c r="I53" t="s">
        <v>71</v>
      </c>
      <c r="J53" t="str">
        <f t="shared" si="0"/>
        <v>Michael Taylor</v>
      </c>
      <c r="K53" t="s">
        <v>24</v>
      </c>
      <c r="L53" s="1">
        <v>36729</v>
      </c>
      <c r="M53" s="3">
        <v>26</v>
      </c>
      <c r="N53">
        <v>7223380592</v>
      </c>
      <c r="O53" t="s">
        <v>64</v>
      </c>
      <c r="P53" s="1">
        <v>44400</v>
      </c>
      <c r="Q53" t="s">
        <v>35</v>
      </c>
      <c r="R53" t="s">
        <v>72</v>
      </c>
      <c r="S53" t="s">
        <v>73</v>
      </c>
      <c r="T53" s="1" t="str" cm="1">
        <f t="array" ref="T53">_xlfn.IFS(Table1[[#This Row],[age]]&lt;=17,"CHILD",Table1[[#This Row],[age]]&lt;=35,"YOUNG ADULT",Table1[[#This Row],[age]]&lt;=55,"MIDDLE AGE",Table1[[#This Row],[age]]&gt;=56,"SENIOR")</f>
        <v>YOUNG ADULT</v>
      </c>
    </row>
    <row r="54" spans="1:20" x14ac:dyDescent="0.3">
      <c r="A54" t="s">
        <v>193</v>
      </c>
      <c r="B54" t="s">
        <v>194</v>
      </c>
      <c r="C54" t="s">
        <v>144</v>
      </c>
      <c r="D54" s="1">
        <v>44969</v>
      </c>
      <c r="E54" s="2">
        <v>0.4375</v>
      </c>
      <c r="F54" t="s">
        <v>56</v>
      </c>
      <c r="G54" t="s">
        <v>32</v>
      </c>
      <c r="H54" t="s">
        <v>181</v>
      </c>
      <c r="I54" t="s">
        <v>88</v>
      </c>
      <c r="J54" t="str">
        <f t="shared" si="0"/>
        <v>Sarah Brown</v>
      </c>
      <c r="K54" t="s">
        <v>14</v>
      </c>
      <c r="L54" s="1">
        <v>33546</v>
      </c>
      <c r="M54" s="3">
        <v>34</v>
      </c>
      <c r="N54">
        <v>7196777444</v>
      </c>
      <c r="O54" t="s">
        <v>15</v>
      </c>
      <c r="P54" s="1">
        <v>44441</v>
      </c>
      <c r="Q54" t="s">
        <v>16</v>
      </c>
      <c r="R54" t="s">
        <v>195</v>
      </c>
      <c r="S54" t="s">
        <v>196</v>
      </c>
      <c r="T54" s="1" t="str" cm="1">
        <f t="array" ref="T54">_xlfn.IFS(Table1[[#This Row],[age]]&lt;=17,"CHILD",Table1[[#This Row],[age]]&lt;=35,"YOUNG ADULT",Table1[[#This Row],[age]]&lt;=55,"MIDDLE AGE",Table1[[#This Row],[age]]&gt;=56,"SENIOR")</f>
        <v>YOUNG ADULT</v>
      </c>
    </row>
    <row r="55" spans="1:20" x14ac:dyDescent="0.3">
      <c r="A55" t="s">
        <v>197</v>
      </c>
      <c r="B55" t="s">
        <v>68</v>
      </c>
      <c r="C55" t="s">
        <v>112</v>
      </c>
      <c r="D55" s="1">
        <v>45276</v>
      </c>
      <c r="E55" s="2">
        <v>0.48958333333333331</v>
      </c>
      <c r="F55" t="s">
        <v>76</v>
      </c>
      <c r="G55" t="s">
        <v>11</v>
      </c>
      <c r="H55" t="s">
        <v>70</v>
      </c>
      <c r="I55" t="s">
        <v>71</v>
      </c>
      <c r="J55" t="str">
        <f t="shared" si="0"/>
        <v>Michael Taylor</v>
      </c>
      <c r="K55" t="s">
        <v>24</v>
      </c>
      <c r="L55" s="1">
        <v>36729</v>
      </c>
      <c r="M55" s="3">
        <v>26</v>
      </c>
      <c r="N55">
        <v>7223380592</v>
      </c>
      <c r="O55" t="s">
        <v>64</v>
      </c>
      <c r="P55" s="1">
        <v>44400</v>
      </c>
      <c r="Q55" t="s">
        <v>35</v>
      </c>
      <c r="R55" t="s">
        <v>72</v>
      </c>
      <c r="S55" t="s">
        <v>73</v>
      </c>
      <c r="T55" s="1" t="str" cm="1">
        <f t="array" ref="T55">_xlfn.IFS(Table1[[#This Row],[age]]&lt;=17,"CHILD",Table1[[#This Row],[age]]&lt;=35,"YOUNG ADULT",Table1[[#This Row],[age]]&lt;=55,"MIDDLE AGE",Table1[[#This Row],[age]]&gt;=56,"SENIOR")</f>
        <v>YOUNG ADULT</v>
      </c>
    </row>
    <row r="56" spans="1:20" x14ac:dyDescent="0.3">
      <c r="A56" t="s">
        <v>198</v>
      </c>
      <c r="B56" t="s">
        <v>199</v>
      </c>
      <c r="C56" t="s">
        <v>69</v>
      </c>
      <c r="D56" s="1">
        <v>45205</v>
      </c>
      <c r="E56" s="2">
        <v>0.72916666666666663</v>
      </c>
      <c r="F56" t="s">
        <v>56</v>
      </c>
      <c r="G56" t="s">
        <v>11</v>
      </c>
      <c r="H56" t="s">
        <v>33</v>
      </c>
      <c r="I56" t="s">
        <v>13</v>
      </c>
      <c r="J56" t="str">
        <f t="shared" si="0"/>
        <v>Emily Smith</v>
      </c>
      <c r="K56" t="s">
        <v>14</v>
      </c>
      <c r="L56" s="1">
        <v>30967</v>
      </c>
      <c r="M56" s="3">
        <v>41</v>
      </c>
      <c r="N56">
        <v>8228188767</v>
      </c>
      <c r="O56" t="s">
        <v>15</v>
      </c>
      <c r="P56" s="1">
        <v>44576</v>
      </c>
      <c r="Q56" t="s">
        <v>35</v>
      </c>
      <c r="R56" t="s">
        <v>200</v>
      </c>
      <c r="S56" t="s">
        <v>201</v>
      </c>
      <c r="T56" s="1" t="str" cm="1">
        <f t="array" ref="T56">_xlfn.IFS(Table1[[#This Row],[age]]&lt;=17,"CHILD",Table1[[#This Row],[age]]&lt;=35,"YOUNG ADULT",Table1[[#This Row],[age]]&lt;=55,"MIDDLE AGE",Table1[[#This Row],[age]]&gt;=56,"SENIOR")</f>
        <v>MIDDLE AGE</v>
      </c>
    </row>
    <row r="57" spans="1:20" x14ac:dyDescent="0.3">
      <c r="A57" t="s">
        <v>202</v>
      </c>
      <c r="B57" t="s">
        <v>133</v>
      </c>
      <c r="C57" t="s">
        <v>21</v>
      </c>
      <c r="D57" s="1">
        <v>44928</v>
      </c>
      <c r="E57" s="2">
        <v>0.53125</v>
      </c>
      <c r="F57" t="s">
        <v>56</v>
      </c>
      <c r="G57" t="s">
        <v>11</v>
      </c>
      <c r="H57" t="s">
        <v>63</v>
      </c>
      <c r="I57" t="s">
        <v>23</v>
      </c>
      <c r="J57" t="str">
        <f t="shared" si="0"/>
        <v>David Moore</v>
      </c>
      <c r="K57" t="s">
        <v>24</v>
      </c>
      <c r="L57" s="1">
        <v>26629</v>
      </c>
      <c r="M57" s="3">
        <v>53</v>
      </c>
      <c r="N57">
        <v>7712937941</v>
      </c>
      <c r="O57" t="s">
        <v>15</v>
      </c>
      <c r="P57" s="1">
        <v>45091</v>
      </c>
      <c r="Q57" t="s">
        <v>26</v>
      </c>
      <c r="R57" t="s">
        <v>134</v>
      </c>
      <c r="S57" t="s">
        <v>135</v>
      </c>
      <c r="T57" s="1" t="str" cm="1">
        <f t="array" ref="T57">_xlfn.IFS(Table1[[#This Row],[age]]&lt;=17,"CHILD",Table1[[#This Row],[age]]&lt;=35,"YOUNG ADULT",Table1[[#This Row],[age]]&lt;=55,"MIDDLE AGE",Table1[[#This Row],[age]]&gt;=56,"SENIOR")</f>
        <v>MIDDLE AGE</v>
      </c>
    </row>
    <row r="58" spans="1:20" x14ac:dyDescent="0.3">
      <c r="A58" t="s">
        <v>203</v>
      </c>
      <c r="B58" t="s">
        <v>125</v>
      </c>
      <c r="C58" t="s">
        <v>69</v>
      </c>
      <c r="D58" s="1">
        <v>45031</v>
      </c>
      <c r="E58" s="2">
        <v>0.73958333333333337</v>
      </c>
      <c r="F58" t="s">
        <v>49</v>
      </c>
      <c r="G58" t="s">
        <v>82</v>
      </c>
      <c r="H58" t="s">
        <v>12</v>
      </c>
      <c r="I58" t="s">
        <v>23</v>
      </c>
      <c r="J58" t="str">
        <f t="shared" si="0"/>
        <v>Alex Moore</v>
      </c>
      <c r="K58" t="s">
        <v>24</v>
      </c>
      <c r="L58" s="1">
        <v>34072</v>
      </c>
      <c r="M58" s="3">
        <v>33</v>
      </c>
      <c r="N58">
        <v>7028910482</v>
      </c>
      <c r="O58" t="s">
        <v>15</v>
      </c>
      <c r="P58" s="1">
        <v>45066</v>
      </c>
      <c r="Q58" t="s">
        <v>26</v>
      </c>
      <c r="R58" t="s">
        <v>126</v>
      </c>
      <c r="S58" t="s">
        <v>28</v>
      </c>
      <c r="T58" s="1" t="str" cm="1">
        <f t="array" ref="T58">_xlfn.IFS(Table1[[#This Row],[age]]&lt;=17,"CHILD",Table1[[#This Row],[age]]&lt;=35,"YOUNG ADULT",Table1[[#This Row],[age]]&lt;=55,"MIDDLE AGE",Table1[[#This Row],[age]]&gt;=56,"SENIOR")</f>
        <v>YOUNG ADULT</v>
      </c>
    </row>
    <row r="59" spans="1:20" x14ac:dyDescent="0.3">
      <c r="A59" t="s">
        <v>204</v>
      </c>
      <c r="B59" t="s">
        <v>20</v>
      </c>
      <c r="C59" t="s">
        <v>112</v>
      </c>
      <c r="D59" s="1">
        <v>45055</v>
      </c>
      <c r="E59" s="2">
        <v>0.55208333333333337</v>
      </c>
      <c r="F59" t="s">
        <v>31</v>
      </c>
      <c r="G59" t="s">
        <v>22</v>
      </c>
      <c r="H59" t="s">
        <v>12</v>
      </c>
      <c r="I59" t="s">
        <v>23</v>
      </c>
      <c r="J59" t="str">
        <f t="shared" si="0"/>
        <v>Alex Moore</v>
      </c>
      <c r="K59" t="s">
        <v>24</v>
      </c>
      <c r="L59" s="1">
        <v>29594</v>
      </c>
      <c r="M59" s="3">
        <v>45</v>
      </c>
      <c r="N59">
        <v>8102183595</v>
      </c>
      <c r="O59" t="s">
        <v>25</v>
      </c>
      <c r="P59" s="1">
        <v>44471</v>
      </c>
      <c r="Q59" t="s">
        <v>26</v>
      </c>
      <c r="R59" t="s">
        <v>27</v>
      </c>
      <c r="S59" t="s">
        <v>28</v>
      </c>
      <c r="T59" s="1" t="str" cm="1">
        <f t="array" ref="T59">_xlfn.IFS(Table1[[#This Row],[age]]&lt;=17,"CHILD",Table1[[#This Row],[age]]&lt;=35,"YOUNG ADULT",Table1[[#This Row],[age]]&lt;=55,"MIDDLE AGE",Table1[[#This Row],[age]]&gt;=56,"SENIOR")</f>
        <v>MIDDLE AGE</v>
      </c>
    </row>
    <row r="60" spans="1:20" x14ac:dyDescent="0.3">
      <c r="A60" t="s">
        <v>205</v>
      </c>
      <c r="B60" t="s">
        <v>206</v>
      </c>
      <c r="C60" t="s">
        <v>69</v>
      </c>
      <c r="D60" s="1">
        <v>44994</v>
      </c>
      <c r="E60" s="2">
        <v>0.64583333333333337</v>
      </c>
      <c r="F60" t="s">
        <v>10</v>
      </c>
      <c r="G60" t="s">
        <v>32</v>
      </c>
      <c r="H60" t="s">
        <v>57</v>
      </c>
      <c r="I60" t="s">
        <v>23</v>
      </c>
      <c r="J60" t="str">
        <f t="shared" si="0"/>
        <v>Linda Moore</v>
      </c>
      <c r="K60" t="s">
        <v>14</v>
      </c>
      <c r="L60" s="1">
        <v>35975</v>
      </c>
      <c r="M60" s="3">
        <v>28</v>
      </c>
      <c r="N60">
        <v>8724518272</v>
      </c>
      <c r="O60" t="s">
        <v>15</v>
      </c>
      <c r="P60" s="1">
        <v>44423</v>
      </c>
      <c r="Q60" t="s">
        <v>43</v>
      </c>
      <c r="R60" t="s">
        <v>207</v>
      </c>
      <c r="S60" t="s">
        <v>208</v>
      </c>
      <c r="T60" s="1" t="str" cm="1">
        <f t="array" ref="T60">_xlfn.IFS(Table1[[#This Row],[age]]&lt;=17,"CHILD",Table1[[#This Row],[age]]&lt;=35,"YOUNG ADULT",Table1[[#This Row],[age]]&lt;=55,"MIDDLE AGE",Table1[[#This Row],[age]]&gt;=56,"SENIOR")</f>
        <v>YOUNG ADULT</v>
      </c>
    </row>
    <row r="61" spans="1:20" x14ac:dyDescent="0.3">
      <c r="A61" t="s">
        <v>209</v>
      </c>
      <c r="B61" t="s">
        <v>210</v>
      </c>
      <c r="C61" t="s">
        <v>97</v>
      </c>
      <c r="D61" s="1">
        <v>45252</v>
      </c>
      <c r="E61" s="2">
        <v>0.71875</v>
      </c>
      <c r="F61" t="s">
        <v>56</v>
      </c>
      <c r="G61" t="s">
        <v>22</v>
      </c>
      <c r="H61" t="s">
        <v>77</v>
      </c>
      <c r="I61" t="s">
        <v>23</v>
      </c>
      <c r="J61" t="str">
        <f t="shared" si="0"/>
        <v>Jane Moore</v>
      </c>
      <c r="K61" t="s">
        <v>14</v>
      </c>
      <c r="L61" s="1">
        <v>37778</v>
      </c>
      <c r="M61" s="3">
        <v>23</v>
      </c>
      <c r="N61">
        <v>8158989953</v>
      </c>
      <c r="O61" t="s">
        <v>64</v>
      </c>
      <c r="P61" s="1">
        <v>44654</v>
      </c>
      <c r="Q61" t="s">
        <v>26</v>
      </c>
      <c r="R61" t="s">
        <v>211</v>
      </c>
      <c r="S61" t="s">
        <v>131</v>
      </c>
      <c r="T61" s="1" t="str" cm="1">
        <f t="array" ref="T61">_xlfn.IFS(Table1[[#This Row],[age]]&lt;=17,"CHILD",Table1[[#This Row],[age]]&lt;=35,"YOUNG ADULT",Table1[[#This Row],[age]]&lt;=55,"MIDDLE AGE",Table1[[#This Row],[age]]&gt;=56,"SENIOR")</f>
        <v>YOUNG ADULT</v>
      </c>
    </row>
    <row r="62" spans="1:20" x14ac:dyDescent="0.3">
      <c r="A62" t="s">
        <v>212</v>
      </c>
      <c r="B62" t="s">
        <v>194</v>
      </c>
      <c r="C62" t="s">
        <v>144</v>
      </c>
      <c r="D62" s="1">
        <v>44941</v>
      </c>
      <c r="E62" s="2">
        <v>0.70833333333333337</v>
      </c>
      <c r="F62" t="s">
        <v>10</v>
      </c>
      <c r="G62" t="s">
        <v>22</v>
      </c>
      <c r="H62" t="s">
        <v>181</v>
      </c>
      <c r="I62" t="s">
        <v>88</v>
      </c>
      <c r="J62" t="str">
        <f t="shared" si="0"/>
        <v>Sarah Brown</v>
      </c>
      <c r="K62" t="s">
        <v>14</v>
      </c>
      <c r="L62" s="1">
        <v>33546</v>
      </c>
      <c r="M62" s="3">
        <v>34</v>
      </c>
      <c r="N62">
        <v>7196777444</v>
      </c>
      <c r="O62" t="s">
        <v>15</v>
      </c>
      <c r="P62" s="1">
        <v>44441</v>
      </c>
      <c r="Q62" t="s">
        <v>16</v>
      </c>
      <c r="R62" t="s">
        <v>195</v>
      </c>
      <c r="S62" t="s">
        <v>196</v>
      </c>
      <c r="T62" s="1" t="str" cm="1">
        <f t="array" ref="T62">_xlfn.IFS(Table1[[#This Row],[age]]&lt;=17,"CHILD",Table1[[#This Row],[age]]&lt;=35,"YOUNG ADULT",Table1[[#This Row],[age]]&lt;=55,"MIDDLE AGE",Table1[[#This Row],[age]]&gt;=56,"SENIOR")</f>
        <v>YOUNG ADULT</v>
      </c>
    </row>
    <row r="63" spans="1:20" x14ac:dyDescent="0.3">
      <c r="A63" t="s">
        <v>213</v>
      </c>
      <c r="B63" t="s">
        <v>103</v>
      </c>
      <c r="C63" t="s">
        <v>9</v>
      </c>
      <c r="D63" s="1">
        <v>45091</v>
      </c>
      <c r="E63" s="2">
        <v>0.63541666666666663</v>
      </c>
      <c r="F63" t="s">
        <v>56</v>
      </c>
      <c r="G63" t="s">
        <v>22</v>
      </c>
      <c r="H63" t="s">
        <v>98</v>
      </c>
      <c r="I63" t="s">
        <v>104</v>
      </c>
      <c r="J63" t="str">
        <f t="shared" si="0"/>
        <v>Laura Davis</v>
      </c>
      <c r="K63" t="s">
        <v>14</v>
      </c>
      <c r="L63" s="1">
        <v>33580</v>
      </c>
      <c r="M63" s="3">
        <v>34</v>
      </c>
      <c r="N63">
        <v>8135666049</v>
      </c>
      <c r="O63" t="s">
        <v>15</v>
      </c>
      <c r="P63" s="1">
        <v>45043</v>
      </c>
      <c r="Q63" t="s">
        <v>26</v>
      </c>
      <c r="R63" t="s">
        <v>105</v>
      </c>
      <c r="S63" t="s">
        <v>106</v>
      </c>
      <c r="T63" s="1" t="str" cm="1">
        <f t="array" ref="T63">_xlfn.IFS(Table1[[#This Row],[age]]&lt;=17,"CHILD",Table1[[#This Row],[age]]&lt;=35,"YOUNG ADULT",Table1[[#This Row],[age]]&lt;=55,"MIDDLE AGE",Table1[[#This Row],[age]]&gt;=56,"SENIOR")</f>
        <v>YOUNG ADULT</v>
      </c>
    </row>
    <row r="64" spans="1:20" x14ac:dyDescent="0.3">
      <c r="A64" t="s">
        <v>214</v>
      </c>
      <c r="B64" t="s">
        <v>215</v>
      </c>
      <c r="C64" t="s">
        <v>21</v>
      </c>
      <c r="D64" s="1">
        <v>45106</v>
      </c>
      <c r="E64" s="2">
        <v>0.375</v>
      </c>
      <c r="F64" t="s">
        <v>76</v>
      </c>
      <c r="G64" t="s">
        <v>11</v>
      </c>
      <c r="H64" t="s">
        <v>98</v>
      </c>
      <c r="I64" t="s">
        <v>42</v>
      </c>
      <c r="J64" t="str">
        <f t="shared" si="0"/>
        <v>Laura Wilson</v>
      </c>
      <c r="K64" t="s">
        <v>24</v>
      </c>
      <c r="L64" s="1">
        <v>34330</v>
      </c>
      <c r="M64" s="3">
        <v>32</v>
      </c>
      <c r="N64">
        <v>8301134730</v>
      </c>
      <c r="O64" t="s">
        <v>15</v>
      </c>
      <c r="P64" s="1">
        <v>45044</v>
      </c>
      <c r="Q64" t="s">
        <v>16</v>
      </c>
      <c r="R64" t="s">
        <v>216</v>
      </c>
      <c r="S64" t="s">
        <v>217</v>
      </c>
      <c r="T64" s="1" t="str" cm="1">
        <f t="array" ref="T64">_xlfn.IFS(Table1[[#This Row],[age]]&lt;=17,"CHILD",Table1[[#This Row],[age]]&lt;=35,"YOUNG ADULT",Table1[[#This Row],[age]]&lt;=55,"MIDDLE AGE",Table1[[#This Row],[age]]&gt;=56,"SENIOR")</f>
        <v>YOUNG ADULT</v>
      </c>
    </row>
    <row r="65" spans="1:20" x14ac:dyDescent="0.3">
      <c r="A65" t="s">
        <v>218</v>
      </c>
      <c r="B65" t="s">
        <v>219</v>
      </c>
      <c r="C65" t="s">
        <v>40</v>
      </c>
      <c r="D65" s="1">
        <v>45077</v>
      </c>
      <c r="E65" s="2">
        <v>0.35416666666666669</v>
      </c>
      <c r="F65" t="s">
        <v>56</v>
      </c>
      <c r="G65" t="s">
        <v>32</v>
      </c>
      <c r="H65" t="s">
        <v>63</v>
      </c>
      <c r="I65" t="s">
        <v>42</v>
      </c>
      <c r="J65" t="str">
        <f t="shared" si="0"/>
        <v>David Wilson</v>
      </c>
      <c r="K65" t="s">
        <v>14</v>
      </c>
      <c r="L65" s="1">
        <v>34072</v>
      </c>
      <c r="M65" s="3">
        <v>33</v>
      </c>
      <c r="N65">
        <v>7039619487</v>
      </c>
      <c r="O65" t="s">
        <v>25</v>
      </c>
      <c r="P65" s="1">
        <v>45116</v>
      </c>
      <c r="Q65" t="s">
        <v>26</v>
      </c>
      <c r="R65" t="s">
        <v>220</v>
      </c>
      <c r="S65" t="s">
        <v>84</v>
      </c>
      <c r="T65" s="1" t="str" cm="1">
        <f t="array" ref="T65">_xlfn.IFS(Table1[[#This Row],[age]]&lt;=17,"CHILD",Table1[[#This Row],[age]]&lt;=35,"YOUNG ADULT",Table1[[#This Row],[age]]&lt;=55,"MIDDLE AGE",Table1[[#This Row],[age]]&gt;=56,"SENIOR")</f>
        <v>YOUNG ADULT</v>
      </c>
    </row>
    <row r="66" spans="1:20" x14ac:dyDescent="0.3">
      <c r="A66" t="s">
        <v>221</v>
      </c>
      <c r="B66" t="s">
        <v>159</v>
      </c>
      <c r="C66" t="s">
        <v>119</v>
      </c>
      <c r="D66" s="1">
        <v>45040</v>
      </c>
      <c r="E66" s="2">
        <v>0.65625</v>
      </c>
      <c r="F66" t="s">
        <v>49</v>
      </c>
      <c r="G66" t="s">
        <v>32</v>
      </c>
      <c r="H66" t="s">
        <v>70</v>
      </c>
      <c r="I66" t="s">
        <v>42</v>
      </c>
      <c r="J66" t="str">
        <f t="shared" si="0"/>
        <v>Michael Wilson</v>
      </c>
      <c r="K66" t="s">
        <v>14</v>
      </c>
      <c r="L66" s="1">
        <v>25605</v>
      </c>
      <c r="M66" s="3">
        <v>56</v>
      </c>
      <c r="N66">
        <v>7923214041</v>
      </c>
      <c r="O66" t="s">
        <v>64</v>
      </c>
      <c r="P66" s="1">
        <v>45175</v>
      </c>
      <c r="Q66" t="s">
        <v>26</v>
      </c>
      <c r="R66" t="s">
        <v>160</v>
      </c>
      <c r="S66" t="s">
        <v>153</v>
      </c>
      <c r="T66" s="1" t="str" cm="1">
        <f t="array" ref="T66">_xlfn.IFS(Table1[[#This Row],[age]]&lt;=17,"CHILD",Table1[[#This Row],[age]]&lt;=35,"YOUNG ADULT",Table1[[#This Row],[age]]&lt;=55,"MIDDLE AGE",Table1[[#This Row],[age]]&gt;=56,"SENIOR")</f>
        <v>SENIOR</v>
      </c>
    </row>
    <row r="67" spans="1:20" x14ac:dyDescent="0.3">
      <c r="A67" t="s">
        <v>222</v>
      </c>
      <c r="B67" t="s">
        <v>159</v>
      </c>
      <c r="C67" t="s">
        <v>9</v>
      </c>
      <c r="D67" s="1">
        <v>45056</v>
      </c>
      <c r="E67" s="2">
        <v>0.48958333333333331</v>
      </c>
      <c r="F67" t="s">
        <v>31</v>
      </c>
      <c r="G67" t="s">
        <v>22</v>
      </c>
      <c r="H67" t="s">
        <v>70</v>
      </c>
      <c r="I67" t="s">
        <v>42</v>
      </c>
      <c r="J67" t="str">
        <f t="shared" ref="J67:J130" si="1">CONCATENATE(H67," ",I67)</f>
        <v>Michael Wilson</v>
      </c>
      <c r="K67" t="s">
        <v>14</v>
      </c>
      <c r="L67" s="1">
        <v>25605</v>
      </c>
      <c r="M67" s="3">
        <v>56</v>
      </c>
      <c r="N67">
        <v>7923214041</v>
      </c>
      <c r="O67" t="s">
        <v>64</v>
      </c>
      <c r="P67" s="1">
        <v>45175</v>
      </c>
      <c r="Q67" t="s">
        <v>26</v>
      </c>
      <c r="R67" t="s">
        <v>160</v>
      </c>
      <c r="S67" t="s">
        <v>153</v>
      </c>
      <c r="T67" s="1" t="str" cm="1">
        <f t="array" ref="T67">_xlfn.IFS(Table1[[#This Row],[age]]&lt;=17,"CHILD",Table1[[#This Row],[age]]&lt;=35,"YOUNG ADULT",Table1[[#This Row],[age]]&lt;=55,"MIDDLE AGE",Table1[[#This Row],[age]]&gt;=56,"SENIOR")</f>
        <v>SENIOR</v>
      </c>
    </row>
    <row r="68" spans="1:20" x14ac:dyDescent="0.3">
      <c r="A68" t="s">
        <v>223</v>
      </c>
      <c r="B68" t="s">
        <v>224</v>
      </c>
      <c r="C68" t="s">
        <v>119</v>
      </c>
      <c r="D68" s="1">
        <v>45148</v>
      </c>
      <c r="E68" s="2">
        <v>0.45833333333333331</v>
      </c>
      <c r="F68" t="s">
        <v>76</v>
      </c>
      <c r="G68" t="s">
        <v>11</v>
      </c>
      <c r="H68" t="s">
        <v>57</v>
      </c>
      <c r="I68" t="s">
        <v>88</v>
      </c>
      <c r="J68" t="str">
        <f t="shared" si="1"/>
        <v>Linda Brown</v>
      </c>
      <c r="K68" t="s">
        <v>24</v>
      </c>
      <c r="L68" s="1">
        <v>29305</v>
      </c>
      <c r="M68" s="3">
        <v>46</v>
      </c>
      <c r="N68">
        <v>9127665406</v>
      </c>
      <c r="O68" t="s">
        <v>64</v>
      </c>
      <c r="P68" s="1">
        <v>44760</v>
      </c>
      <c r="Q68" t="s">
        <v>16</v>
      </c>
      <c r="R68" t="s">
        <v>225</v>
      </c>
      <c r="S68" t="s">
        <v>226</v>
      </c>
      <c r="T68" s="1" t="str" cm="1">
        <f t="array" ref="T68">_xlfn.IFS(Table1[[#This Row],[age]]&lt;=17,"CHILD",Table1[[#This Row],[age]]&lt;=35,"YOUNG ADULT",Table1[[#This Row],[age]]&lt;=55,"MIDDLE AGE",Table1[[#This Row],[age]]&gt;=56,"SENIOR")</f>
        <v>MIDDLE AGE</v>
      </c>
    </row>
    <row r="69" spans="1:20" x14ac:dyDescent="0.3">
      <c r="A69" t="s">
        <v>227</v>
      </c>
      <c r="B69" t="s">
        <v>114</v>
      </c>
      <c r="C69" t="s">
        <v>144</v>
      </c>
      <c r="D69" s="1">
        <v>44999</v>
      </c>
      <c r="E69" s="2">
        <v>0.625</v>
      </c>
      <c r="F69" t="s">
        <v>56</v>
      </c>
      <c r="G69" t="s">
        <v>11</v>
      </c>
      <c r="H69" t="s">
        <v>41</v>
      </c>
      <c r="I69" t="s">
        <v>50</v>
      </c>
      <c r="J69" t="str">
        <f t="shared" si="1"/>
        <v>Robert Williams</v>
      </c>
      <c r="K69" t="s">
        <v>24</v>
      </c>
      <c r="L69" s="1">
        <v>36196</v>
      </c>
      <c r="M69" s="3">
        <v>27</v>
      </c>
      <c r="N69">
        <v>8886800195</v>
      </c>
      <c r="O69" t="s">
        <v>51</v>
      </c>
      <c r="P69" s="1">
        <v>44469</v>
      </c>
      <c r="Q69" t="s">
        <v>43</v>
      </c>
      <c r="R69" t="s">
        <v>115</v>
      </c>
      <c r="S69" t="s">
        <v>116</v>
      </c>
      <c r="T69" s="1" t="str" cm="1">
        <f t="array" ref="T69">_xlfn.IFS(Table1[[#This Row],[age]]&lt;=17,"CHILD",Table1[[#This Row],[age]]&lt;=35,"YOUNG ADULT",Table1[[#This Row],[age]]&lt;=55,"MIDDLE AGE",Table1[[#This Row],[age]]&gt;=56,"SENIOR")</f>
        <v>YOUNG ADULT</v>
      </c>
    </row>
    <row r="70" spans="1:20" x14ac:dyDescent="0.3">
      <c r="A70" t="s">
        <v>228</v>
      </c>
      <c r="B70" t="s">
        <v>103</v>
      </c>
      <c r="C70" t="s">
        <v>21</v>
      </c>
      <c r="D70" s="1">
        <v>45014</v>
      </c>
      <c r="E70" s="2">
        <v>0.64583333333333337</v>
      </c>
      <c r="F70" t="s">
        <v>10</v>
      </c>
      <c r="G70" t="s">
        <v>32</v>
      </c>
      <c r="H70" t="s">
        <v>98</v>
      </c>
      <c r="I70" t="s">
        <v>104</v>
      </c>
      <c r="J70" t="str">
        <f t="shared" si="1"/>
        <v>Laura Davis</v>
      </c>
      <c r="K70" t="s">
        <v>14</v>
      </c>
      <c r="L70" s="1">
        <v>33580</v>
      </c>
      <c r="M70" s="3">
        <v>34</v>
      </c>
      <c r="N70">
        <v>8135666049</v>
      </c>
      <c r="O70" t="s">
        <v>15</v>
      </c>
      <c r="P70" s="1">
        <v>45043</v>
      </c>
      <c r="Q70" t="s">
        <v>26</v>
      </c>
      <c r="R70" t="s">
        <v>105</v>
      </c>
      <c r="S70" t="s">
        <v>106</v>
      </c>
      <c r="T70" s="1" t="str" cm="1">
        <f t="array" ref="T70">_xlfn.IFS(Table1[[#This Row],[age]]&lt;=17,"CHILD",Table1[[#This Row],[age]]&lt;=35,"YOUNG ADULT",Table1[[#This Row],[age]]&lt;=55,"MIDDLE AGE",Table1[[#This Row],[age]]&gt;=56,"SENIOR")</f>
        <v>YOUNG ADULT</v>
      </c>
    </row>
    <row r="71" spans="1:20" x14ac:dyDescent="0.3">
      <c r="A71" t="s">
        <v>229</v>
      </c>
      <c r="B71" t="s">
        <v>96</v>
      </c>
      <c r="C71" t="s">
        <v>48</v>
      </c>
      <c r="D71" s="1">
        <v>45164</v>
      </c>
      <c r="E71" s="2">
        <v>0.70833333333333337</v>
      </c>
      <c r="F71" t="s">
        <v>76</v>
      </c>
      <c r="G71" t="s">
        <v>11</v>
      </c>
      <c r="H71" t="s">
        <v>98</v>
      </c>
      <c r="I71" t="s">
        <v>99</v>
      </c>
      <c r="J71" t="str">
        <f t="shared" si="1"/>
        <v>Laura Jones</v>
      </c>
      <c r="K71" t="s">
        <v>24</v>
      </c>
      <c r="L71" s="1">
        <v>28358</v>
      </c>
      <c r="M71" s="3">
        <v>49</v>
      </c>
      <c r="N71">
        <v>8397029847</v>
      </c>
      <c r="O71" t="s">
        <v>15</v>
      </c>
      <c r="P71" s="1">
        <v>44599</v>
      </c>
      <c r="Q71" t="s">
        <v>35</v>
      </c>
      <c r="R71" t="s">
        <v>100</v>
      </c>
      <c r="S71" t="s">
        <v>101</v>
      </c>
      <c r="T71" s="1" t="str" cm="1">
        <f t="array" ref="T71">_xlfn.IFS(Table1[[#This Row],[age]]&lt;=17,"CHILD",Table1[[#This Row],[age]]&lt;=35,"YOUNG ADULT",Table1[[#This Row],[age]]&lt;=55,"MIDDLE AGE",Table1[[#This Row],[age]]&gt;=56,"SENIOR")</f>
        <v>MIDDLE AGE</v>
      </c>
    </row>
    <row r="72" spans="1:20" x14ac:dyDescent="0.3">
      <c r="A72" t="s">
        <v>230</v>
      </c>
      <c r="B72" t="s">
        <v>61</v>
      </c>
      <c r="C72" t="s">
        <v>40</v>
      </c>
      <c r="D72" s="1">
        <v>44952</v>
      </c>
      <c r="E72" s="2">
        <v>0.70833333333333337</v>
      </c>
      <c r="F72" t="s">
        <v>76</v>
      </c>
      <c r="G72" t="s">
        <v>11</v>
      </c>
      <c r="H72" t="s">
        <v>63</v>
      </c>
      <c r="I72" t="s">
        <v>50</v>
      </c>
      <c r="J72" t="str">
        <f t="shared" si="1"/>
        <v>David Williams</v>
      </c>
      <c r="K72" t="s">
        <v>14</v>
      </c>
      <c r="L72" s="1">
        <v>20244</v>
      </c>
      <c r="M72" s="3">
        <v>71</v>
      </c>
      <c r="N72">
        <v>6939585183</v>
      </c>
      <c r="O72" t="s">
        <v>64</v>
      </c>
      <c r="P72" s="1">
        <v>44735</v>
      </c>
      <c r="Q72" t="s">
        <v>16</v>
      </c>
      <c r="R72" t="s">
        <v>65</v>
      </c>
      <c r="S72" t="s">
        <v>66</v>
      </c>
      <c r="T72" s="1" t="str" cm="1">
        <f t="array" ref="T72">_xlfn.IFS(Table1[[#This Row],[age]]&lt;=17,"CHILD",Table1[[#This Row],[age]]&lt;=35,"YOUNG ADULT",Table1[[#This Row],[age]]&lt;=55,"MIDDLE AGE",Table1[[#This Row],[age]]&gt;=56,"SENIOR")</f>
        <v>SENIOR</v>
      </c>
    </row>
    <row r="73" spans="1:20" x14ac:dyDescent="0.3">
      <c r="A73" t="s">
        <v>231</v>
      </c>
      <c r="B73" t="s">
        <v>159</v>
      </c>
      <c r="C73" t="s">
        <v>97</v>
      </c>
      <c r="D73" s="1">
        <v>45089</v>
      </c>
      <c r="E73" s="2">
        <v>0.5625</v>
      </c>
      <c r="F73" t="s">
        <v>56</v>
      </c>
      <c r="G73" t="s">
        <v>11</v>
      </c>
      <c r="H73" t="s">
        <v>70</v>
      </c>
      <c r="I73" t="s">
        <v>42</v>
      </c>
      <c r="J73" t="str">
        <f t="shared" si="1"/>
        <v>Michael Wilson</v>
      </c>
      <c r="K73" t="s">
        <v>14</v>
      </c>
      <c r="L73" s="1">
        <v>25605</v>
      </c>
      <c r="M73" s="3">
        <v>56</v>
      </c>
      <c r="N73">
        <v>7923214041</v>
      </c>
      <c r="O73" t="s">
        <v>64</v>
      </c>
      <c r="P73" s="1">
        <v>45175</v>
      </c>
      <c r="Q73" t="s">
        <v>26</v>
      </c>
      <c r="R73" t="s">
        <v>160</v>
      </c>
      <c r="S73" t="s">
        <v>153</v>
      </c>
      <c r="T73" s="1" t="str" cm="1">
        <f t="array" ref="T73">_xlfn.IFS(Table1[[#This Row],[age]]&lt;=17,"CHILD",Table1[[#This Row],[age]]&lt;=35,"YOUNG ADULT",Table1[[#This Row],[age]]&lt;=55,"MIDDLE AGE",Table1[[#This Row],[age]]&gt;=56,"SENIOR")</f>
        <v>SENIOR</v>
      </c>
    </row>
    <row r="74" spans="1:20" x14ac:dyDescent="0.3">
      <c r="A74" t="s">
        <v>232</v>
      </c>
      <c r="B74" t="s">
        <v>47</v>
      </c>
      <c r="C74" t="s">
        <v>48</v>
      </c>
      <c r="D74" s="1">
        <v>45284</v>
      </c>
      <c r="E74" s="2">
        <v>0.625</v>
      </c>
      <c r="F74" t="s">
        <v>76</v>
      </c>
      <c r="G74" t="s">
        <v>82</v>
      </c>
      <c r="H74" t="s">
        <v>33</v>
      </c>
      <c r="I74" t="s">
        <v>50</v>
      </c>
      <c r="J74" t="str">
        <f t="shared" si="1"/>
        <v>Emily Williams</v>
      </c>
      <c r="K74" t="s">
        <v>24</v>
      </c>
      <c r="L74" s="1">
        <v>26449</v>
      </c>
      <c r="M74" s="3">
        <v>54</v>
      </c>
      <c r="N74">
        <v>7587653815</v>
      </c>
      <c r="O74" t="s">
        <v>51</v>
      </c>
      <c r="P74" s="1">
        <v>44485</v>
      </c>
      <c r="Q74" t="s">
        <v>35</v>
      </c>
      <c r="R74" t="s">
        <v>52</v>
      </c>
      <c r="S74" t="s">
        <v>53</v>
      </c>
      <c r="T74" s="1" t="str" cm="1">
        <f t="array" ref="T74">_xlfn.IFS(Table1[[#This Row],[age]]&lt;=17,"CHILD",Table1[[#This Row],[age]]&lt;=35,"YOUNG ADULT",Table1[[#This Row],[age]]&lt;=55,"MIDDLE AGE",Table1[[#This Row],[age]]&gt;=56,"SENIOR")</f>
        <v>MIDDLE AGE</v>
      </c>
    </row>
    <row r="75" spans="1:20" x14ac:dyDescent="0.3">
      <c r="A75" t="s">
        <v>233</v>
      </c>
      <c r="B75" t="s">
        <v>169</v>
      </c>
      <c r="C75" t="s">
        <v>144</v>
      </c>
      <c r="D75" s="1">
        <v>45130</v>
      </c>
      <c r="E75" s="2">
        <v>0.5625</v>
      </c>
      <c r="F75" t="s">
        <v>10</v>
      </c>
      <c r="G75" t="s">
        <v>22</v>
      </c>
      <c r="H75" t="s">
        <v>70</v>
      </c>
      <c r="I75" t="s">
        <v>71</v>
      </c>
      <c r="J75" t="str">
        <f t="shared" si="1"/>
        <v>Michael Taylor</v>
      </c>
      <c r="K75" t="s">
        <v>24</v>
      </c>
      <c r="L75" s="1">
        <v>37177</v>
      </c>
      <c r="M75" s="3">
        <v>24</v>
      </c>
      <c r="N75">
        <v>7081396733</v>
      </c>
      <c r="O75" t="s">
        <v>25</v>
      </c>
      <c r="P75" s="1">
        <v>44797</v>
      </c>
      <c r="Q75" t="s">
        <v>16</v>
      </c>
      <c r="R75" t="s">
        <v>170</v>
      </c>
      <c r="S75" t="s">
        <v>73</v>
      </c>
      <c r="T75" s="1" t="str" cm="1">
        <f t="array" ref="T75">_xlfn.IFS(Table1[[#This Row],[age]]&lt;=17,"CHILD",Table1[[#This Row],[age]]&lt;=35,"YOUNG ADULT",Table1[[#This Row],[age]]&lt;=55,"MIDDLE AGE",Table1[[#This Row],[age]]&gt;=56,"SENIOR")</f>
        <v>YOUNG ADULT</v>
      </c>
    </row>
    <row r="76" spans="1:20" x14ac:dyDescent="0.3">
      <c r="A76" t="s">
        <v>234</v>
      </c>
      <c r="B76" t="s">
        <v>224</v>
      </c>
      <c r="C76" t="s">
        <v>9</v>
      </c>
      <c r="D76" s="1">
        <v>45054</v>
      </c>
      <c r="E76" s="2">
        <v>0.58333333333333337</v>
      </c>
      <c r="F76" t="s">
        <v>76</v>
      </c>
      <c r="G76" t="s">
        <v>32</v>
      </c>
      <c r="H76" t="s">
        <v>57</v>
      </c>
      <c r="I76" t="s">
        <v>88</v>
      </c>
      <c r="J76" t="str">
        <f t="shared" si="1"/>
        <v>Linda Brown</v>
      </c>
      <c r="K76" t="s">
        <v>24</v>
      </c>
      <c r="L76" s="1">
        <v>29305</v>
      </c>
      <c r="M76" s="3">
        <v>46</v>
      </c>
      <c r="N76">
        <v>9127665406</v>
      </c>
      <c r="O76" t="s">
        <v>64</v>
      </c>
      <c r="P76" s="1">
        <v>44760</v>
      </c>
      <c r="Q76" t="s">
        <v>16</v>
      </c>
      <c r="R76" t="s">
        <v>225</v>
      </c>
      <c r="S76" t="s">
        <v>226</v>
      </c>
      <c r="T76" s="1" t="str" cm="1">
        <f t="array" ref="T76">_xlfn.IFS(Table1[[#This Row],[age]]&lt;=17,"CHILD",Table1[[#This Row],[age]]&lt;=35,"YOUNG ADULT",Table1[[#This Row],[age]]&lt;=55,"MIDDLE AGE",Table1[[#This Row],[age]]&gt;=56,"SENIOR")</f>
        <v>MIDDLE AGE</v>
      </c>
    </row>
    <row r="77" spans="1:20" x14ac:dyDescent="0.3">
      <c r="A77" t="s">
        <v>235</v>
      </c>
      <c r="B77" t="s">
        <v>236</v>
      </c>
      <c r="C77" t="s">
        <v>97</v>
      </c>
      <c r="D77" s="1">
        <v>45257</v>
      </c>
      <c r="E77" s="2">
        <v>0.5</v>
      </c>
      <c r="F77" t="s">
        <v>10</v>
      </c>
      <c r="G77" t="s">
        <v>32</v>
      </c>
      <c r="H77" t="s">
        <v>41</v>
      </c>
      <c r="I77" t="s">
        <v>71</v>
      </c>
      <c r="J77" t="str">
        <f t="shared" si="1"/>
        <v>Robert Taylor</v>
      </c>
      <c r="K77" t="s">
        <v>14</v>
      </c>
      <c r="L77" s="1">
        <v>27830</v>
      </c>
      <c r="M77" s="3">
        <v>50</v>
      </c>
      <c r="N77">
        <v>9449458981</v>
      </c>
      <c r="O77" t="s">
        <v>15</v>
      </c>
      <c r="P77" s="1">
        <v>44952</v>
      </c>
      <c r="Q77" t="s">
        <v>35</v>
      </c>
      <c r="R77" t="s">
        <v>237</v>
      </c>
      <c r="S77" t="s">
        <v>238</v>
      </c>
      <c r="T77" s="1" t="str" cm="1">
        <f t="array" ref="T77">_xlfn.IFS(Table1[[#This Row],[age]]&lt;=17,"CHILD",Table1[[#This Row],[age]]&lt;=35,"YOUNG ADULT",Table1[[#This Row],[age]]&lt;=55,"MIDDLE AGE",Table1[[#This Row],[age]]&gt;=56,"SENIOR")</f>
        <v>MIDDLE AGE</v>
      </c>
    </row>
    <row r="78" spans="1:20" x14ac:dyDescent="0.3">
      <c r="A78" t="s">
        <v>239</v>
      </c>
      <c r="B78" t="s">
        <v>92</v>
      </c>
      <c r="C78" t="s">
        <v>69</v>
      </c>
      <c r="D78" s="1">
        <v>45274</v>
      </c>
      <c r="E78" s="2">
        <v>0.71875</v>
      </c>
      <c r="F78" t="s">
        <v>56</v>
      </c>
      <c r="G78" t="s">
        <v>82</v>
      </c>
      <c r="H78" t="s">
        <v>63</v>
      </c>
      <c r="I78" t="s">
        <v>13</v>
      </c>
      <c r="J78" t="str">
        <f t="shared" si="1"/>
        <v>David Smith</v>
      </c>
      <c r="K78" t="s">
        <v>24</v>
      </c>
      <c r="L78" s="1">
        <v>38487</v>
      </c>
      <c r="M78" s="3">
        <v>21</v>
      </c>
      <c r="N78">
        <v>8923607677</v>
      </c>
      <c r="O78" t="s">
        <v>64</v>
      </c>
      <c r="P78" s="1">
        <v>45035</v>
      </c>
      <c r="Q78" t="s">
        <v>43</v>
      </c>
      <c r="R78" t="s">
        <v>93</v>
      </c>
      <c r="S78" t="s">
        <v>94</v>
      </c>
      <c r="T78" s="1" t="str" cm="1">
        <f t="array" ref="T78">_xlfn.IFS(Table1[[#This Row],[age]]&lt;=17,"CHILD",Table1[[#This Row],[age]]&lt;=35,"YOUNG ADULT",Table1[[#This Row],[age]]&lt;=55,"MIDDLE AGE",Table1[[#This Row],[age]]&gt;=56,"SENIOR")</f>
        <v>YOUNG ADULT</v>
      </c>
    </row>
    <row r="79" spans="1:20" x14ac:dyDescent="0.3">
      <c r="A79" t="s">
        <v>240</v>
      </c>
      <c r="B79" t="s">
        <v>241</v>
      </c>
      <c r="C79" t="s">
        <v>112</v>
      </c>
      <c r="D79" s="1">
        <v>45186</v>
      </c>
      <c r="E79" s="2">
        <v>0.46875</v>
      </c>
      <c r="F79" t="s">
        <v>31</v>
      </c>
      <c r="G79" t="s">
        <v>22</v>
      </c>
      <c r="H79" t="s">
        <v>98</v>
      </c>
      <c r="I79" t="s">
        <v>165</v>
      </c>
      <c r="J79" t="str">
        <f t="shared" si="1"/>
        <v>Laura Johnson</v>
      </c>
      <c r="K79" t="s">
        <v>14</v>
      </c>
      <c r="L79" s="1">
        <v>32960</v>
      </c>
      <c r="M79" s="3">
        <v>36</v>
      </c>
      <c r="N79">
        <v>9059178882</v>
      </c>
      <c r="O79" t="s">
        <v>15</v>
      </c>
      <c r="P79" s="1">
        <v>44553</v>
      </c>
      <c r="Q79" t="s">
        <v>16</v>
      </c>
      <c r="R79" t="s">
        <v>242</v>
      </c>
      <c r="S79" t="s">
        <v>243</v>
      </c>
      <c r="T79" s="1" t="str" cm="1">
        <f t="array" ref="T79">_xlfn.IFS(Table1[[#This Row],[age]]&lt;=17,"CHILD",Table1[[#This Row],[age]]&lt;=35,"YOUNG ADULT",Table1[[#This Row],[age]]&lt;=55,"MIDDLE AGE",Table1[[#This Row],[age]]&gt;=56,"SENIOR")</f>
        <v>MIDDLE AGE</v>
      </c>
    </row>
    <row r="80" spans="1:20" x14ac:dyDescent="0.3">
      <c r="A80" t="s">
        <v>244</v>
      </c>
      <c r="B80" t="s">
        <v>103</v>
      </c>
      <c r="C80" t="s">
        <v>97</v>
      </c>
      <c r="D80" s="1">
        <v>45286</v>
      </c>
      <c r="E80" s="2">
        <v>0.58333333333333337</v>
      </c>
      <c r="F80" t="s">
        <v>76</v>
      </c>
      <c r="G80" t="s">
        <v>32</v>
      </c>
      <c r="H80" t="s">
        <v>98</v>
      </c>
      <c r="I80" t="s">
        <v>104</v>
      </c>
      <c r="J80" t="str">
        <f t="shared" si="1"/>
        <v>Laura Davis</v>
      </c>
      <c r="K80" t="s">
        <v>14</v>
      </c>
      <c r="L80" s="1">
        <v>33580</v>
      </c>
      <c r="M80" s="3">
        <v>34</v>
      </c>
      <c r="N80">
        <v>8135666049</v>
      </c>
      <c r="O80" t="s">
        <v>15</v>
      </c>
      <c r="P80" s="1">
        <v>45043</v>
      </c>
      <c r="Q80" t="s">
        <v>26</v>
      </c>
      <c r="R80" t="s">
        <v>105</v>
      </c>
      <c r="S80" t="s">
        <v>106</v>
      </c>
      <c r="T80" s="1" t="str" cm="1">
        <f t="array" ref="T80">_xlfn.IFS(Table1[[#This Row],[age]]&lt;=17,"CHILD",Table1[[#This Row],[age]]&lt;=35,"YOUNG ADULT",Table1[[#This Row],[age]]&lt;=55,"MIDDLE AGE",Table1[[#This Row],[age]]&gt;=56,"SENIOR")</f>
        <v>YOUNG ADULT</v>
      </c>
    </row>
    <row r="81" spans="1:20" x14ac:dyDescent="0.3">
      <c r="A81" t="s">
        <v>245</v>
      </c>
      <c r="B81" t="s">
        <v>175</v>
      </c>
      <c r="C81" t="s">
        <v>144</v>
      </c>
      <c r="D81" s="1">
        <v>45103</v>
      </c>
      <c r="E81" s="2">
        <v>0.35416666666666669</v>
      </c>
      <c r="F81" t="s">
        <v>31</v>
      </c>
      <c r="G81" t="s">
        <v>11</v>
      </c>
      <c r="H81" t="s">
        <v>41</v>
      </c>
      <c r="I81" t="s">
        <v>34</v>
      </c>
      <c r="J81" t="str">
        <f t="shared" si="1"/>
        <v>Robert Miller</v>
      </c>
      <c r="K81" t="s">
        <v>24</v>
      </c>
      <c r="L81" s="1">
        <v>31791</v>
      </c>
      <c r="M81" s="3">
        <v>39</v>
      </c>
      <c r="N81">
        <v>8280346676</v>
      </c>
      <c r="O81" t="s">
        <v>15</v>
      </c>
      <c r="P81" s="1">
        <v>44740</v>
      </c>
      <c r="Q81" t="s">
        <v>16</v>
      </c>
      <c r="R81" t="s">
        <v>176</v>
      </c>
      <c r="S81" t="s">
        <v>177</v>
      </c>
      <c r="T81" s="1" t="str" cm="1">
        <f t="array" ref="T81">_xlfn.IFS(Table1[[#This Row],[age]]&lt;=17,"CHILD",Table1[[#This Row],[age]]&lt;=35,"YOUNG ADULT",Table1[[#This Row],[age]]&lt;=55,"MIDDLE AGE",Table1[[#This Row],[age]]&gt;=56,"SENIOR")</f>
        <v>MIDDLE AGE</v>
      </c>
    </row>
    <row r="82" spans="1:20" x14ac:dyDescent="0.3">
      <c r="A82" t="s">
        <v>246</v>
      </c>
      <c r="B82" t="s">
        <v>141</v>
      </c>
      <c r="C82" t="s">
        <v>62</v>
      </c>
      <c r="D82" s="1">
        <v>44932</v>
      </c>
      <c r="E82" s="2">
        <v>0.5625</v>
      </c>
      <c r="F82" t="s">
        <v>10</v>
      </c>
      <c r="G82" t="s">
        <v>32</v>
      </c>
      <c r="H82" t="s">
        <v>70</v>
      </c>
      <c r="I82" t="s">
        <v>71</v>
      </c>
      <c r="J82" t="str">
        <f t="shared" si="1"/>
        <v>Michael Taylor</v>
      </c>
      <c r="K82" t="s">
        <v>14</v>
      </c>
      <c r="L82" s="1">
        <v>31656</v>
      </c>
      <c r="M82" s="3">
        <v>40</v>
      </c>
      <c r="N82">
        <v>8019925828</v>
      </c>
      <c r="O82" t="s">
        <v>51</v>
      </c>
      <c r="P82" s="1">
        <v>44408</v>
      </c>
      <c r="Q82" t="s">
        <v>26</v>
      </c>
      <c r="R82" t="s">
        <v>142</v>
      </c>
      <c r="S82" t="s">
        <v>73</v>
      </c>
      <c r="T82" s="1" t="str" cm="1">
        <f t="array" ref="T82">_xlfn.IFS(Table1[[#This Row],[age]]&lt;=17,"CHILD",Table1[[#This Row],[age]]&lt;=35,"YOUNG ADULT",Table1[[#This Row],[age]]&lt;=55,"MIDDLE AGE",Table1[[#This Row],[age]]&gt;=56,"SENIOR")</f>
        <v>MIDDLE AGE</v>
      </c>
    </row>
    <row r="83" spans="1:20" x14ac:dyDescent="0.3">
      <c r="A83" t="s">
        <v>247</v>
      </c>
      <c r="B83" t="s">
        <v>199</v>
      </c>
      <c r="C83" t="s">
        <v>112</v>
      </c>
      <c r="D83" s="1">
        <v>44946</v>
      </c>
      <c r="E83" s="2">
        <v>0.44791666666666669</v>
      </c>
      <c r="F83" t="s">
        <v>76</v>
      </c>
      <c r="G83" t="s">
        <v>11</v>
      </c>
      <c r="H83" t="s">
        <v>33</v>
      </c>
      <c r="I83" t="s">
        <v>13</v>
      </c>
      <c r="J83" t="str">
        <f t="shared" si="1"/>
        <v>Emily Smith</v>
      </c>
      <c r="K83" t="s">
        <v>14</v>
      </c>
      <c r="L83" s="1">
        <v>30967</v>
      </c>
      <c r="M83" s="3">
        <v>41</v>
      </c>
      <c r="N83">
        <v>8228188767</v>
      </c>
      <c r="O83" t="s">
        <v>15</v>
      </c>
      <c r="P83" s="1">
        <v>44576</v>
      </c>
      <c r="Q83" t="s">
        <v>35</v>
      </c>
      <c r="R83" t="s">
        <v>200</v>
      </c>
      <c r="S83" t="s">
        <v>201</v>
      </c>
      <c r="T83" s="1" t="str" cm="1">
        <f t="array" ref="T83">_xlfn.IFS(Table1[[#This Row],[age]]&lt;=17,"CHILD",Table1[[#This Row],[age]]&lt;=35,"YOUNG ADULT",Table1[[#This Row],[age]]&lt;=55,"MIDDLE AGE",Table1[[#This Row],[age]]&gt;=56,"SENIOR")</f>
        <v>MIDDLE AGE</v>
      </c>
    </row>
    <row r="84" spans="1:20" x14ac:dyDescent="0.3">
      <c r="A84" t="s">
        <v>248</v>
      </c>
      <c r="B84" t="s">
        <v>215</v>
      </c>
      <c r="C84" t="s">
        <v>119</v>
      </c>
      <c r="D84" s="1">
        <v>45237</v>
      </c>
      <c r="E84" s="2">
        <v>0.52083333333333337</v>
      </c>
      <c r="F84" t="s">
        <v>49</v>
      </c>
      <c r="G84" t="s">
        <v>82</v>
      </c>
      <c r="H84" t="s">
        <v>98</v>
      </c>
      <c r="I84" t="s">
        <v>42</v>
      </c>
      <c r="J84" t="str">
        <f t="shared" si="1"/>
        <v>Laura Wilson</v>
      </c>
      <c r="K84" t="s">
        <v>24</v>
      </c>
      <c r="L84" s="1">
        <v>34330</v>
      </c>
      <c r="M84" s="3">
        <v>32</v>
      </c>
      <c r="N84">
        <v>8301134730</v>
      </c>
      <c r="O84" t="s">
        <v>15</v>
      </c>
      <c r="P84" s="1">
        <v>45044</v>
      </c>
      <c r="Q84" t="s">
        <v>16</v>
      </c>
      <c r="R84" t="s">
        <v>216</v>
      </c>
      <c r="S84" t="s">
        <v>217</v>
      </c>
      <c r="T84" s="1" t="str" cm="1">
        <f t="array" ref="T84">_xlfn.IFS(Table1[[#This Row],[age]]&lt;=17,"CHILD",Table1[[#This Row],[age]]&lt;=35,"YOUNG ADULT",Table1[[#This Row],[age]]&lt;=55,"MIDDLE AGE",Table1[[#This Row],[age]]&gt;=56,"SENIOR")</f>
        <v>YOUNG ADULT</v>
      </c>
    </row>
    <row r="85" spans="1:20" x14ac:dyDescent="0.3">
      <c r="A85" t="s">
        <v>249</v>
      </c>
      <c r="B85" t="s">
        <v>219</v>
      </c>
      <c r="C85" t="s">
        <v>40</v>
      </c>
      <c r="D85" s="1">
        <v>45077</v>
      </c>
      <c r="E85" s="2">
        <v>0.66666666666666663</v>
      </c>
      <c r="F85" t="s">
        <v>31</v>
      </c>
      <c r="G85" t="s">
        <v>11</v>
      </c>
      <c r="H85" t="s">
        <v>63</v>
      </c>
      <c r="I85" t="s">
        <v>42</v>
      </c>
      <c r="J85" t="str">
        <f t="shared" si="1"/>
        <v>David Wilson</v>
      </c>
      <c r="K85" t="s">
        <v>14</v>
      </c>
      <c r="L85" s="1">
        <v>34072</v>
      </c>
      <c r="M85" s="3">
        <v>33</v>
      </c>
      <c r="N85">
        <v>7039619487</v>
      </c>
      <c r="O85" t="s">
        <v>25</v>
      </c>
      <c r="P85" s="1">
        <v>45116</v>
      </c>
      <c r="Q85" t="s">
        <v>26</v>
      </c>
      <c r="R85" t="s">
        <v>220</v>
      </c>
      <c r="S85" t="s">
        <v>84</v>
      </c>
      <c r="T85" s="1" t="str" cm="1">
        <f t="array" ref="T85">_xlfn.IFS(Table1[[#This Row],[age]]&lt;=17,"CHILD",Table1[[#This Row],[age]]&lt;=35,"YOUNG ADULT",Table1[[#This Row],[age]]&lt;=55,"MIDDLE AGE",Table1[[#This Row],[age]]&gt;=56,"SENIOR")</f>
        <v>YOUNG ADULT</v>
      </c>
    </row>
    <row r="86" spans="1:20" x14ac:dyDescent="0.3">
      <c r="A86" t="s">
        <v>250</v>
      </c>
      <c r="B86" t="s">
        <v>164</v>
      </c>
      <c r="C86" t="s">
        <v>119</v>
      </c>
      <c r="D86" s="1">
        <v>44975</v>
      </c>
      <c r="E86" s="2">
        <v>0.67708333333333337</v>
      </c>
      <c r="F86" t="s">
        <v>76</v>
      </c>
      <c r="G86" t="s">
        <v>32</v>
      </c>
      <c r="H86" t="s">
        <v>57</v>
      </c>
      <c r="I86" t="s">
        <v>165</v>
      </c>
      <c r="J86" t="str">
        <f t="shared" si="1"/>
        <v>Linda Johnson</v>
      </c>
      <c r="K86" t="s">
        <v>24</v>
      </c>
      <c r="L86" s="1">
        <v>34387</v>
      </c>
      <c r="M86" s="3">
        <v>32</v>
      </c>
      <c r="N86">
        <v>6141951830</v>
      </c>
      <c r="O86" t="s">
        <v>64</v>
      </c>
      <c r="P86" s="1">
        <v>44557</v>
      </c>
      <c r="Q86" t="s">
        <v>16</v>
      </c>
      <c r="R86" t="s">
        <v>166</v>
      </c>
      <c r="S86" t="s">
        <v>167</v>
      </c>
      <c r="T86" s="1" t="str" cm="1">
        <f t="array" ref="T86">_xlfn.IFS(Table1[[#This Row],[age]]&lt;=17,"CHILD",Table1[[#This Row],[age]]&lt;=35,"YOUNG ADULT",Table1[[#This Row],[age]]&lt;=55,"MIDDLE AGE",Table1[[#This Row],[age]]&gt;=56,"SENIOR")</f>
        <v>YOUNG ADULT</v>
      </c>
    </row>
    <row r="87" spans="1:20" x14ac:dyDescent="0.3">
      <c r="A87" t="s">
        <v>251</v>
      </c>
      <c r="B87" t="s">
        <v>252</v>
      </c>
      <c r="C87" t="s">
        <v>97</v>
      </c>
      <c r="D87" s="1">
        <v>45228</v>
      </c>
      <c r="E87" s="2">
        <v>0.45833333333333331</v>
      </c>
      <c r="F87" t="s">
        <v>31</v>
      </c>
      <c r="G87" t="s">
        <v>32</v>
      </c>
      <c r="H87" t="s">
        <v>77</v>
      </c>
      <c r="I87" t="s">
        <v>99</v>
      </c>
      <c r="J87" t="str">
        <f t="shared" si="1"/>
        <v>Jane Jones</v>
      </c>
      <c r="K87" t="s">
        <v>24</v>
      </c>
      <c r="L87" s="1">
        <v>33359</v>
      </c>
      <c r="M87" s="3">
        <v>35</v>
      </c>
      <c r="N87">
        <v>6158428240</v>
      </c>
      <c r="O87" t="s">
        <v>51</v>
      </c>
      <c r="P87" s="1">
        <v>44830</v>
      </c>
      <c r="Q87" t="s">
        <v>16</v>
      </c>
      <c r="R87" t="s">
        <v>253</v>
      </c>
      <c r="S87" t="s">
        <v>254</v>
      </c>
      <c r="T87" s="1" t="str" cm="1">
        <f t="array" ref="T87">_xlfn.IFS(Table1[[#This Row],[age]]&lt;=17,"CHILD",Table1[[#This Row],[age]]&lt;=35,"YOUNG ADULT",Table1[[#This Row],[age]]&lt;=55,"MIDDLE AGE",Table1[[#This Row],[age]]&gt;=56,"SENIOR")</f>
        <v>YOUNG ADULT</v>
      </c>
    </row>
    <row r="88" spans="1:20" x14ac:dyDescent="0.3">
      <c r="A88" t="s">
        <v>255</v>
      </c>
      <c r="B88" t="s">
        <v>108</v>
      </c>
      <c r="C88" t="s">
        <v>119</v>
      </c>
      <c r="D88" s="1">
        <v>45218</v>
      </c>
      <c r="E88" s="2">
        <v>0.51041666666666663</v>
      </c>
      <c r="F88" t="s">
        <v>76</v>
      </c>
      <c r="G88" t="s">
        <v>32</v>
      </c>
      <c r="H88" t="s">
        <v>87</v>
      </c>
      <c r="I88" t="s">
        <v>71</v>
      </c>
      <c r="J88" t="str">
        <f t="shared" si="1"/>
        <v>John Taylor</v>
      </c>
      <c r="K88" t="s">
        <v>24</v>
      </c>
      <c r="L88" s="1">
        <v>37953</v>
      </c>
      <c r="M88" s="3">
        <v>22</v>
      </c>
      <c r="N88">
        <v>9900972256</v>
      </c>
      <c r="O88" t="s">
        <v>25</v>
      </c>
      <c r="P88" s="1">
        <v>44329</v>
      </c>
      <c r="Q88" t="s">
        <v>26</v>
      </c>
      <c r="R88" t="s">
        <v>109</v>
      </c>
      <c r="S88" t="s">
        <v>110</v>
      </c>
      <c r="T88" s="1" t="str" cm="1">
        <f t="array" ref="T88">_xlfn.IFS(Table1[[#This Row],[age]]&lt;=17,"CHILD",Table1[[#This Row],[age]]&lt;=35,"YOUNG ADULT",Table1[[#This Row],[age]]&lt;=55,"MIDDLE AGE",Table1[[#This Row],[age]]&gt;=56,"SENIOR")</f>
        <v>YOUNG ADULT</v>
      </c>
    </row>
    <row r="89" spans="1:20" x14ac:dyDescent="0.3">
      <c r="A89" t="s">
        <v>256</v>
      </c>
      <c r="B89" t="s">
        <v>257</v>
      </c>
      <c r="C89" t="s">
        <v>144</v>
      </c>
      <c r="D89" s="1">
        <v>45048</v>
      </c>
      <c r="E89" s="2">
        <v>0.6875</v>
      </c>
      <c r="F89" t="s">
        <v>56</v>
      </c>
      <c r="G89" t="s">
        <v>82</v>
      </c>
      <c r="H89" t="s">
        <v>63</v>
      </c>
      <c r="I89" t="s">
        <v>104</v>
      </c>
      <c r="J89" t="str">
        <f t="shared" si="1"/>
        <v>David Davis</v>
      </c>
      <c r="K89" t="s">
        <v>14</v>
      </c>
      <c r="L89" s="1">
        <v>27946</v>
      </c>
      <c r="M89" s="3">
        <v>50</v>
      </c>
      <c r="N89">
        <v>7090558393</v>
      </c>
      <c r="O89" t="s">
        <v>51</v>
      </c>
      <c r="P89" s="1">
        <v>44341</v>
      </c>
      <c r="Q89" t="s">
        <v>16</v>
      </c>
      <c r="R89" t="s">
        <v>258</v>
      </c>
      <c r="S89" t="s">
        <v>259</v>
      </c>
      <c r="T89" s="1" t="str" cm="1">
        <f t="array" ref="T89">_xlfn.IFS(Table1[[#This Row],[age]]&lt;=17,"CHILD",Table1[[#This Row],[age]]&lt;=35,"YOUNG ADULT",Table1[[#This Row],[age]]&lt;=55,"MIDDLE AGE",Table1[[#This Row],[age]]&gt;=56,"SENIOR")</f>
        <v>MIDDLE AGE</v>
      </c>
    </row>
    <row r="90" spans="1:20" x14ac:dyDescent="0.3">
      <c r="A90" t="s">
        <v>260</v>
      </c>
      <c r="B90" t="s">
        <v>92</v>
      </c>
      <c r="C90" t="s">
        <v>69</v>
      </c>
      <c r="D90" s="1">
        <v>44971</v>
      </c>
      <c r="E90" s="2">
        <v>0.45833333333333331</v>
      </c>
      <c r="F90" t="s">
        <v>31</v>
      </c>
      <c r="G90" t="s">
        <v>82</v>
      </c>
      <c r="H90" t="s">
        <v>63</v>
      </c>
      <c r="I90" t="s">
        <v>13</v>
      </c>
      <c r="J90" t="str">
        <f t="shared" si="1"/>
        <v>David Smith</v>
      </c>
      <c r="K90" t="s">
        <v>24</v>
      </c>
      <c r="L90" s="1">
        <v>38487</v>
      </c>
      <c r="M90" s="3">
        <v>21</v>
      </c>
      <c r="N90">
        <v>8923607677</v>
      </c>
      <c r="O90" t="s">
        <v>64</v>
      </c>
      <c r="P90" s="1">
        <v>45035</v>
      </c>
      <c r="Q90" t="s">
        <v>43</v>
      </c>
      <c r="R90" t="s">
        <v>93</v>
      </c>
      <c r="S90" t="s">
        <v>94</v>
      </c>
      <c r="T90" s="1" t="str" cm="1">
        <f t="array" ref="T90">_xlfn.IFS(Table1[[#This Row],[age]]&lt;=17,"CHILD",Table1[[#This Row],[age]]&lt;=35,"YOUNG ADULT",Table1[[#This Row],[age]]&lt;=55,"MIDDLE AGE",Table1[[#This Row],[age]]&gt;=56,"SENIOR")</f>
        <v>YOUNG ADULT</v>
      </c>
    </row>
    <row r="91" spans="1:20" x14ac:dyDescent="0.3">
      <c r="A91" t="s">
        <v>261</v>
      </c>
      <c r="B91" t="s">
        <v>108</v>
      </c>
      <c r="C91" t="s">
        <v>9</v>
      </c>
      <c r="D91" s="1">
        <v>45078</v>
      </c>
      <c r="E91" s="2">
        <v>0.72916666666666663</v>
      </c>
      <c r="F91" t="s">
        <v>49</v>
      </c>
      <c r="G91" t="s">
        <v>22</v>
      </c>
      <c r="H91" t="s">
        <v>87</v>
      </c>
      <c r="I91" t="s">
        <v>71</v>
      </c>
      <c r="J91" t="str">
        <f t="shared" si="1"/>
        <v>John Taylor</v>
      </c>
      <c r="K91" t="s">
        <v>24</v>
      </c>
      <c r="L91" s="1">
        <v>37953</v>
      </c>
      <c r="M91" s="3">
        <v>22</v>
      </c>
      <c r="N91">
        <v>9900972256</v>
      </c>
      <c r="O91" t="s">
        <v>25</v>
      </c>
      <c r="P91" s="1">
        <v>44329</v>
      </c>
      <c r="Q91" t="s">
        <v>26</v>
      </c>
      <c r="R91" t="s">
        <v>109</v>
      </c>
      <c r="S91" t="s">
        <v>110</v>
      </c>
      <c r="T91" s="1" t="str" cm="1">
        <f t="array" ref="T91">_xlfn.IFS(Table1[[#This Row],[age]]&lt;=17,"CHILD",Table1[[#This Row],[age]]&lt;=35,"YOUNG ADULT",Table1[[#This Row],[age]]&lt;=55,"MIDDLE AGE",Table1[[#This Row],[age]]&gt;=56,"SENIOR")</f>
        <v>YOUNG ADULT</v>
      </c>
    </row>
    <row r="92" spans="1:20" x14ac:dyDescent="0.3">
      <c r="A92" t="s">
        <v>262</v>
      </c>
      <c r="B92" t="s">
        <v>169</v>
      </c>
      <c r="C92" t="s">
        <v>40</v>
      </c>
      <c r="D92" s="1">
        <v>45088</v>
      </c>
      <c r="E92" s="2">
        <v>0.55208333333333337</v>
      </c>
      <c r="F92" t="s">
        <v>49</v>
      </c>
      <c r="G92" t="s">
        <v>32</v>
      </c>
      <c r="H92" t="s">
        <v>70</v>
      </c>
      <c r="I92" t="s">
        <v>71</v>
      </c>
      <c r="J92" t="str">
        <f t="shared" si="1"/>
        <v>Michael Taylor</v>
      </c>
      <c r="K92" t="s">
        <v>24</v>
      </c>
      <c r="L92" s="1">
        <v>37177</v>
      </c>
      <c r="M92" s="3">
        <v>24</v>
      </c>
      <c r="N92">
        <v>7081396733</v>
      </c>
      <c r="O92" t="s">
        <v>25</v>
      </c>
      <c r="P92" s="1">
        <v>44797</v>
      </c>
      <c r="Q92" t="s">
        <v>16</v>
      </c>
      <c r="R92" t="s">
        <v>170</v>
      </c>
      <c r="S92" t="s">
        <v>73</v>
      </c>
      <c r="T92" s="1" t="str" cm="1">
        <f t="array" ref="T92">_xlfn.IFS(Table1[[#This Row],[age]]&lt;=17,"CHILD",Table1[[#This Row],[age]]&lt;=35,"YOUNG ADULT",Table1[[#This Row],[age]]&lt;=55,"MIDDLE AGE",Table1[[#This Row],[age]]&gt;=56,"SENIOR")</f>
        <v>YOUNG ADULT</v>
      </c>
    </row>
    <row r="93" spans="1:20" x14ac:dyDescent="0.3">
      <c r="A93" t="s">
        <v>263</v>
      </c>
      <c r="B93" t="s">
        <v>108</v>
      </c>
      <c r="C93" t="s">
        <v>119</v>
      </c>
      <c r="D93" s="1">
        <v>44956</v>
      </c>
      <c r="E93" s="2">
        <v>0.59375</v>
      </c>
      <c r="F93" t="s">
        <v>10</v>
      </c>
      <c r="G93" t="s">
        <v>11</v>
      </c>
      <c r="H93" t="s">
        <v>87</v>
      </c>
      <c r="I93" t="s">
        <v>71</v>
      </c>
      <c r="J93" t="str">
        <f t="shared" si="1"/>
        <v>John Taylor</v>
      </c>
      <c r="K93" t="s">
        <v>24</v>
      </c>
      <c r="L93" s="1">
        <v>37953</v>
      </c>
      <c r="M93" s="3">
        <v>22</v>
      </c>
      <c r="N93">
        <v>9900972256</v>
      </c>
      <c r="O93" t="s">
        <v>25</v>
      </c>
      <c r="P93" s="1">
        <v>44329</v>
      </c>
      <c r="Q93" t="s">
        <v>26</v>
      </c>
      <c r="R93" t="s">
        <v>109</v>
      </c>
      <c r="S93" t="s">
        <v>110</v>
      </c>
      <c r="T93" s="1" t="str" cm="1">
        <f t="array" ref="T93">_xlfn.IFS(Table1[[#This Row],[age]]&lt;=17,"CHILD",Table1[[#This Row],[age]]&lt;=35,"YOUNG ADULT",Table1[[#This Row],[age]]&lt;=55,"MIDDLE AGE",Table1[[#This Row],[age]]&gt;=56,"SENIOR")</f>
        <v>YOUNG ADULT</v>
      </c>
    </row>
    <row r="94" spans="1:20" x14ac:dyDescent="0.3">
      <c r="A94" t="s">
        <v>264</v>
      </c>
      <c r="B94" t="s">
        <v>8</v>
      </c>
      <c r="C94" t="s">
        <v>119</v>
      </c>
      <c r="D94" s="1">
        <v>45025</v>
      </c>
      <c r="E94" s="2">
        <v>0.39583333333333331</v>
      </c>
      <c r="F94" t="s">
        <v>76</v>
      </c>
      <c r="G94" t="s">
        <v>82</v>
      </c>
      <c r="H94" t="s">
        <v>12</v>
      </c>
      <c r="I94" t="s">
        <v>13</v>
      </c>
      <c r="J94" t="str">
        <f t="shared" si="1"/>
        <v>Alex Smith</v>
      </c>
      <c r="K94" t="s">
        <v>14</v>
      </c>
      <c r="L94" s="1">
        <v>18289</v>
      </c>
      <c r="M94" s="3">
        <v>76</v>
      </c>
      <c r="N94">
        <v>8374657733</v>
      </c>
      <c r="O94" t="s">
        <v>15</v>
      </c>
      <c r="P94" s="1">
        <v>45095</v>
      </c>
      <c r="Q94" t="s">
        <v>16</v>
      </c>
      <c r="R94" t="s">
        <v>17</v>
      </c>
      <c r="S94" t="s">
        <v>18</v>
      </c>
      <c r="T94" s="1" t="str" cm="1">
        <f t="array" ref="T94">_xlfn.IFS(Table1[[#This Row],[age]]&lt;=17,"CHILD",Table1[[#This Row],[age]]&lt;=35,"YOUNG ADULT",Table1[[#This Row],[age]]&lt;=55,"MIDDLE AGE",Table1[[#This Row],[age]]&gt;=56,"SENIOR")</f>
        <v>SENIOR</v>
      </c>
    </row>
    <row r="95" spans="1:20" x14ac:dyDescent="0.3">
      <c r="A95" t="s">
        <v>265</v>
      </c>
      <c r="B95" t="s">
        <v>266</v>
      </c>
      <c r="C95" t="s">
        <v>97</v>
      </c>
      <c r="D95" s="1">
        <v>45024</v>
      </c>
      <c r="E95" s="2">
        <v>0.36458333333333331</v>
      </c>
      <c r="F95" t="s">
        <v>31</v>
      </c>
      <c r="G95" t="s">
        <v>32</v>
      </c>
      <c r="H95" t="s">
        <v>41</v>
      </c>
      <c r="I95" t="s">
        <v>50</v>
      </c>
      <c r="J95" t="str">
        <f t="shared" si="1"/>
        <v>Robert Williams</v>
      </c>
      <c r="K95" t="s">
        <v>24</v>
      </c>
      <c r="L95" s="1">
        <v>18798</v>
      </c>
      <c r="M95" s="3">
        <v>75</v>
      </c>
      <c r="N95">
        <v>7020645498</v>
      </c>
      <c r="O95" t="s">
        <v>51</v>
      </c>
      <c r="P95" s="1">
        <v>44758</v>
      </c>
      <c r="Q95" t="s">
        <v>16</v>
      </c>
      <c r="R95" t="s">
        <v>267</v>
      </c>
      <c r="S95" t="s">
        <v>116</v>
      </c>
      <c r="T95" s="1" t="str" cm="1">
        <f t="array" ref="T95">_xlfn.IFS(Table1[[#This Row],[age]]&lt;=17,"CHILD",Table1[[#This Row],[age]]&lt;=35,"YOUNG ADULT",Table1[[#This Row],[age]]&lt;=55,"MIDDLE AGE",Table1[[#This Row],[age]]&gt;=56,"SENIOR")</f>
        <v>SENIOR</v>
      </c>
    </row>
    <row r="96" spans="1:20" x14ac:dyDescent="0.3">
      <c r="A96" t="s">
        <v>268</v>
      </c>
      <c r="B96" t="s">
        <v>269</v>
      </c>
      <c r="C96" t="s">
        <v>9</v>
      </c>
      <c r="D96" s="1">
        <v>45055</v>
      </c>
      <c r="E96" s="2">
        <v>0.42708333333333331</v>
      </c>
      <c r="F96" t="s">
        <v>10</v>
      </c>
      <c r="G96" t="s">
        <v>32</v>
      </c>
      <c r="H96" t="s">
        <v>12</v>
      </c>
      <c r="I96" t="s">
        <v>165</v>
      </c>
      <c r="J96" t="str">
        <f t="shared" si="1"/>
        <v>Alex Johnson</v>
      </c>
      <c r="K96" t="s">
        <v>14</v>
      </c>
      <c r="L96" s="1">
        <v>32667</v>
      </c>
      <c r="M96" s="3">
        <v>37</v>
      </c>
      <c r="N96">
        <v>6278710077</v>
      </c>
      <c r="O96" t="s">
        <v>64</v>
      </c>
      <c r="P96" s="1">
        <v>44555</v>
      </c>
      <c r="Q96" t="s">
        <v>26</v>
      </c>
      <c r="R96" t="s">
        <v>270</v>
      </c>
      <c r="S96" t="s">
        <v>271</v>
      </c>
      <c r="T96" s="1" t="str" cm="1">
        <f t="array" ref="T96">_xlfn.IFS(Table1[[#This Row],[age]]&lt;=17,"CHILD",Table1[[#This Row],[age]]&lt;=35,"YOUNG ADULT",Table1[[#This Row],[age]]&lt;=55,"MIDDLE AGE",Table1[[#This Row],[age]]&gt;=56,"SENIOR")</f>
        <v>MIDDLE AGE</v>
      </c>
    </row>
    <row r="97" spans="1:20" x14ac:dyDescent="0.3">
      <c r="A97" t="s">
        <v>272</v>
      </c>
      <c r="B97" t="s">
        <v>189</v>
      </c>
      <c r="C97" t="s">
        <v>48</v>
      </c>
      <c r="D97" s="1">
        <v>45114</v>
      </c>
      <c r="E97" s="2">
        <v>0.625</v>
      </c>
      <c r="F97" t="s">
        <v>31</v>
      </c>
      <c r="G97" t="s">
        <v>82</v>
      </c>
      <c r="H97" t="s">
        <v>70</v>
      </c>
      <c r="I97" t="s">
        <v>165</v>
      </c>
      <c r="J97" t="str">
        <f t="shared" si="1"/>
        <v>Michael Johnson</v>
      </c>
      <c r="K97" t="s">
        <v>14</v>
      </c>
      <c r="L97" s="1">
        <v>29637</v>
      </c>
      <c r="M97" s="3">
        <v>45</v>
      </c>
      <c r="N97">
        <v>9019443432</v>
      </c>
      <c r="O97" t="s">
        <v>25</v>
      </c>
      <c r="P97" s="1">
        <v>44257</v>
      </c>
      <c r="Q97" t="s">
        <v>43</v>
      </c>
      <c r="R97" t="s">
        <v>190</v>
      </c>
      <c r="S97" t="s">
        <v>191</v>
      </c>
      <c r="T97" s="1" t="str" cm="1">
        <f t="array" ref="T97">_xlfn.IFS(Table1[[#This Row],[age]]&lt;=17,"CHILD",Table1[[#This Row],[age]]&lt;=35,"YOUNG ADULT",Table1[[#This Row],[age]]&lt;=55,"MIDDLE AGE",Table1[[#This Row],[age]]&gt;=56,"SENIOR")</f>
        <v>MIDDLE AGE</v>
      </c>
    </row>
    <row r="98" spans="1:20" x14ac:dyDescent="0.3">
      <c r="A98" t="s">
        <v>273</v>
      </c>
      <c r="B98" t="s">
        <v>215</v>
      </c>
      <c r="C98" t="s">
        <v>119</v>
      </c>
      <c r="D98" s="1">
        <v>45052</v>
      </c>
      <c r="E98" s="2">
        <v>0.61458333333333337</v>
      </c>
      <c r="F98" t="s">
        <v>76</v>
      </c>
      <c r="G98" t="s">
        <v>22</v>
      </c>
      <c r="H98" t="s">
        <v>98</v>
      </c>
      <c r="I98" t="s">
        <v>42</v>
      </c>
      <c r="J98" t="str">
        <f t="shared" si="1"/>
        <v>Laura Wilson</v>
      </c>
      <c r="K98" t="s">
        <v>24</v>
      </c>
      <c r="L98" s="1">
        <v>34330</v>
      </c>
      <c r="M98" s="3">
        <v>32</v>
      </c>
      <c r="N98">
        <v>8301134730</v>
      </c>
      <c r="O98" t="s">
        <v>15</v>
      </c>
      <c r="P98" s="1">
        <v>45044</v>
      </c>
      <c r="Q98" t="s">
        <v>16</v>
      </c>
      <c r="R98" t="s">
        <v>216</v>
      </c>
      <c r="S98" t="s">
        <v>217</v>
      </c>
      <c r="T98" s="1" t="str" cm="1">
        <f t="array" ref="T98">_xlfn.IFS(Table1[[#This Row],[age]]&lt;=17,"CHILD",Table1[[#This Row],[age]]&lt;=35,"YOUNG ADULT",Table1[[#This Row],[age]]&lt;=55,"MIDDLE AGE",Table1[[#This Row],[age]]&gt;=56,"SENIOR")</f>
        <v>YOUNG ADULT</v>
      </c>
    </row>
    <row r="99" spans="1:20" x14ac:dyDescent="0.3">
      <c r="A99" t="s">
        <v>274</v>
      </c>
      <c r="B99" t="s">
        <v>55</v>
      </c>
      <c r="C99" t="s">
        <v>144</v>
      </c>
      <c r="D99" s="1">
        <v>45002</v>
      </c>
      <c r="E99" s="2">
        <v>0.54166666666666663</v>
      </c>
      <c r="F99" t="s">
        <v>49</v>
      </c>
      <c r="G99" t="s">
        <v>82</v>
      </c>
      <c r="H99" t="s">
        <v>57</v>
      </c>
      <c r="I99" t="s">
        <v>34</v>
      </c>
      <c r="J99" t="str">
        <f t="shared" si="1"/>
        <v>Linda Miller</v>
      </c>
      <c r="K99" t="s">
        <v>14</v>
      </c>
      <c r="L99" s="1">
        <v>24222</v>
      </c>
      <c r="M99" s="3">
        <v>60</v>
      </c>
      <c r="N99">
        <v>7579616535</v>
      </c>
      <c r="O99" t="s">
        <v>15</v>
      </c>
      <c r="P99" s="1">
        <v>44219</v>
      </c>
      <c r="Q99" t="s">
        <v>26</v>
      </c>
      <c r="R99" t="s">
        <v>58</v>
      </c>
      <c r="S99" t="s">
        <v>59</v>
      </c>
      <c r="T99" s="1" t="str" cm="1">
        <f t="array" ref="T99">_xlfn.IFS(Table1[[#This Row],[age]]&lt;=17,"CHILD",Table1[[#This Row],[age]]&lt;=35,"YOUNG ADULT",Table1[[#This Row],[age]]&lt;=55,"MIDDLE AGE",Table1[[#This Row],[age]]&gt;=56,"SENIOR")</f>
        <v>SENIOR</v>
      </c>
    </row>
    <row r="100" spans="1:20" x14ac:dyDescent="0.3">
      <c r="A100" t="s">
        <v>275</v>
      </c>
      <c r="B100" t="s">
        <v>276</v>
      </c>
      <c r="C100" t="s">
        <v>62</v>
      </c>
      <c r="D100" s="1">
        <v>45111</v>
      </c>
      <c r="E100" s="2">
        <v>0.625</v>
      </c>
      <c r="F100" t="s">
        <v>56</v>
      </c>
      <c r="G100" t="s">
        <v>82</v>
      </c>
      <c r="H100" t="s">
        <v>33</v>
      </c>
      <c r="I100" t="s">
        <v>99</v>
      </c>
      <c r="J100" t="str">
        <f t="shared" si="1"/>
        <v>Emily Jones</v>
      </c>
      <c r="K100" t="s">
        <v>14</v>
      </c>
      <c r="L100" s="1">
        <v>24445</v>
      </c>
      <c r="M100" s="3">
        <v>59</v>
      </c>
      <c r="N100">
        <v>8990604070</v>
      </c>
      <c r="O100" t="s">
        <v>64</v>
      </c>
      <c r="P100" s="1">
        <v>44831</v>
      </c>
      <c r="Q100" t="s">
        <v>26</v>
      </c>
      <c r="R100" t="s">
        <v>277</v>
      </c>
      <c r="S100" t="s">
        <v>278</v>
      </c>
      <c r="T100" s="1" t="str" cm="1">
        <f t="array" ref="T100">_xlfn.IFS(Table1[[#This Row],[age]]&lt;=17,"CHILD",Table1[[#This Row],[age]]&lt;=35,"YOUNG ADULT",Table1[[#This Row],[age]]&lt;=55,"MIDDLE AGE",Table1[[#This Row],[age]]&gt;=56,"SENIOR")</f>
        <v>SENIOR</v>
      </c>
    </row>
    <row r="101" spans="1:20" x14ac:dyDescent="0.3">
      <c r="A101" t="s">
        <v>279</v>
      </c>
      <c r="B101" t="s">
        <v>92</v>
      </c>
      <c r="C101" t="s">
        <v>40</v>
      </c>
      <c r="D101" s="1">
        <v>44987</v>
      </c>
      <c r="E101" s="2">
        <v>0.33333333333333331</v>
      </c>
      <c r="F101" t="s">
        <v>49</v>
      </c>
      <c r="G101" t="s">
        <v>11</v>
      </c>
      <c r="H101" t="s">
        <v>63</v>
      </c>
      <c r="I101" t="s">
        <v>13</v>
      </c>
      <c r="J101" t="str">
        <f t="shared" si="1"/>
        <v>David Smith</v>
      </c>
      <c r="K101" t="s">
        <v>24</v>
      </c>
      <c r="L101" s="1">
        <v>38487</v>
      </c>
      <c r="M101" s="3">
        <v>21</v>
      </c>
      <c r="N101">
        <v>8923607677</v>
      </c>
      <c r="O101" t="s">
        <v>64</v>
      </c>
      <c r="P101" s="1">
        <v>45035</v>
      </c>
      <c r="Q101" t="s">
        <v>43</v>
      </c>
      <c r="R101" t="s">
        <v>93</v>
      </c>
      <c r="S101" t="s">
        <v>94</v>
      </c>
      <c r="T101" s="1" t="str" cm="1">
        <f t="array" ref="T101">_xlfn.IFS(Table1[[#This Row],[age]]&lt;=17,"CHILD",Table1[[#This Row],[age]]&lt;=35,"YOUNG ADULT",Table1[[#This Row],[age]]&lt;=55,"MIDDLE AGE",Table1[[#This Row],[age]]&gt;=56,"SENIOR")</f>
        <v>YOUNG ADULT</v>
      </c>
    </row>
    <row r="102" spans="1:20" x14ac:dyDescent="0.3">
      <c r="A102" t="s">
        <v>280</v>
      </c>
      <c r="B102" t="s">
        <v>156</v>
      </c>
      <c r="C102" t="s">
        <v>119</v>
      </c>
      <c r="D102" s="1">
        <v>45190</v>
      </c>
      <c r="E102" s="2">
        <v>0.55208333333333337</v>
      </c>
      <c r="F102" t="s">
        <v>10</v>
      </c>
      <c r="G102" t="s">
        <v>11</v>
      </c>
      <c r="H102" t="s">
        <v>70</v>
      </c>
      <c r="I102" t="s">
        <v>42</v>
      </c>
      <c r="J102" t="str">
        <f t="shared" si="1"/>
        <v>Michael Wilson</v>
      </c>
      <c r="K102" t="s">
        <v>24</v>
      </c>
      <c r="L102" s="1">
        <v>35790</v>
      </c>
      <c r="M102" s="3">
        <v>28</v>
      </c>
      <c r="N102">
        <v>8545613046</v>
      </c>
      <c r="O102" t="s">
        <v>25</v>
      </c>
      <c r="P102" s="1">
        <v>44838</v>
      </c>
      <c r="Q102" t="s">
        <v>26</v>
      </c>
      <c r="R102" t="s">
        <v>157</v>
      </c>
      <c r="S102" t="s">
        <v>153</v>
      </c>
      <c r="T102" s="1" t="str" cm="1">
        <f t="array" ref="T102">_xlfn.IFS(Table1[[#This Row],[age]]&lt;=17,"CHILD",Table1[[#This Row],[age]]&lt;=35,"YOUNG ADULT",Table1[[#This Row],[age]]&lt;=55,"MIDDLE AGE",Table1[[#This Row],[age]]&gt;=56,"SENIOR")</f>
        <v>YOUNG ADULT</v>
      </c>
    </row>
    <row r="103" spans="1:20" x14ac:dyDescent="0.3">
      <c r="A103" t="s">
        <v>281</v>
      </c>
      <c r="B103" t="s">
        <v>39</v>
      </c>
      <c r="C103" t="s">
        <v>144</v>
      </c>
      <c r="D103" s="1">
        <v>45224</v>
      </c>
      <c r="E103" s="2">
        <v>0.375</v>
      </c>
      <c r="F103" t="s">
        <v>56</v>
      </c>
      <c r="G103" t="s">
        <v>22</v>
      </c>
      <c r="H103" t="s">
        <v>41</v>
      </c>
      <c r="I103" t="s">
        <v>42</v>
      </c>
      <c r="J103" t="str">
        <f t="shared" si="1"/>
        <v>Robert Wilson</v>
      </c>
      <c r="K103" t="s">
        <v>24</v>
      </c>
      <c r="L103" s="1">
        <v>24333</v>
      </c>
      <c r="M103" s="3">
        <v>60</v>
      </c>
      <c r="N103">
        <v>7482069727</v>
      </c>
      <c r="O103" t="s">
        <v>25</v>
      </c>
      <c r="P103" s="1">
        <v>44448</v>
      </c>
      <c r="Q103" t="s">
        <v>43</v>
      </c>
      <c r="R103" t="s">
        <v>44</v>
      </c>
      <c r="S103" t="s">
        <v>45</v>
      </c>
      <c r="T103" s="1" t="str" cm="1">
        <f t="array" ref="T103">_xlfn.IFS(Table1[[#This Row],[age]]&lt;=17,"CHILD",Table1[[#This Row],[age]]&lt;=35,"YOUNG ADULT",Table1[[#This Row],[age]]&lt;=55,"MIDDLE AGE",Table1[[#This Row],[age]]&gt;=56,"SENIOR")</f>
        <v>SENIOR</v>
      </c>
    </row>
    <row r="104" spans="1:20" x14ac:dyDescent="0.3">
      <c r="A104" t="s">
        <v>282</v>
      </c>
      <c r="B104" t="s">
        <v>151</v>
      </c>
      <c r="C104" t="s">
        <v>144</v>
      </c>
      <c r="D104" s="1">
        <v>44950</v>
      </c>
      <c r="E104" s="2">
        <v>0.35416666666666669</v>
      </c>
      <c r="F104" t="s">
        <v>10</v>
      </c>
      <c r="G104" t="s">
        <v>32</v>
      </c>
      <c r="H104" t="s">
        <v>70</v>
      </c>
      <c r="I104" t="s">
        <v>42</v>
      </c>
      <c r="J104" t="str">
        <f t="shared" si="1"/>
        <v>Michael Wilson</v>
      </c>
      <c r="K104" t="s">
        <v>24</v>
      </c>
      <c r="L104" s="1">
        <v>37316</v>
      </c>
      <c r="M104" s="3">
        <v>24</v>
      </c>
      <c r="N104">
        <v>7765390555</v>
      </c>
      <c r="O104" t="s">
        <v>15</v>
      </c>
      <c r="P104" s="1">
        <v>44580</v>
      </c>
      <c r="Q104" t="s">
        <v>16</v>
      </c>
      <c r="R104" t="s">
        <v>152</v>
      </c>
      <c r="S104" t="s">
        <v>153</v>
      </c>
      <c r="T104" s="1" t="str" cm="1">
        <f t="array" ref="T104">_xlfn.IFS(Table1[[#This Row],[age]]&lt;=17,"CHILD",Table1[[#This Row],[age]]&lt;=35,"YOUNG ADULT",Table1[[#This Row],[age]]&lt;=55,"MIDDLE AGE",Table1[[#This Row],[age]]&gt;=56,"SENIOR")</f>
        <v>YOUNG ADULT</v>
      </c>
    </row>
    <row r="105" spans="1:20" x14ac:dyDescent="0.3">
      <c r="A105" t="s">
        <v>283</v>
      </c>
      <c r="B105" t="s">
        <v>156</v>
      </c>
      <c r="C105" t="s">
        <v>40</v>
      </c>
      <c r="D105" s="1">
        <v>45034</v>
      </c>
      <c r="E105" s="2">
        <v>0.36458333333333331</v>
      </c>
      <c r="F105" t="s">
        <v>76</v>
      </c>
      <c r="G105" t="s">
        <v>82</v>
      </c>
      <c r="H105" t="s">
        <v>70</v>
      </c>
      <c r="I105" t="s">
        <v>42</v>
      </c>
      <c r="J105" t="str">
        <f t="shared" si="1"/>
        <v>Michael Wilson</v>
      </c>
      <c r="K105" t="s">
        <v>24</v>
      </c>
      <c r="L105" s="1">
        <v>35790</v>
      </c>
      <c r="M105" s="3">
        <v>28</v>
      </c>
      <c r="N105">
        <v>8545613046</v>
      </c>
      <c r="O105" t="s">
        <v>25</v>
      </c>
      <c r="P105" s="1">
        <v>44838</v>
      </c>
      <c r="Q105" t="s">
        <v>26</v>
      </c>
      <c r="R105" t="s">
        <v>157</v>
      </c>
      <c r="S105" t="s">
        <v>153</v>
      </c>
      <c r="T105" s="1" t="str" cm="1">
        <f t="array" ref="T105">_xlfn.IFS(Table1[[#This Row],[age]]&lt;=17,"CHILD",Table1[[#This Row],[age]]&lt;=35,"YOUNG ADULT",Table1[[#This Row],[age]]&lt;=55,"MIDDLE AGE",Table1[[#This Row],[age]]&gt;=56,"SENIOR")</f>
        <v>YOUNG ADULT</v>
      </c>
    </row>
    <row r="106" spans="1:20" x14ac:dyDescent="0.3">
      <c r="A106" t="s">
        <v>284</v>
      </c>
      <c r="B106" t="s">
        <v>169</v>
      </c>
      <c r="C106" t="s">
        <v>48</v>
      </c>
      <c r="D106" s="1">
        <v>45152</v>
      </c>
      <c r="E106" s="2">
        <v>0.66666666666666663</v>
      </c>
      <c r="F106" t="s">
        <v>56</v>
      </c>
      <c r="G106" t="s">
        <v>22</v>
      </c>
      <c r="H106" t="s">
        <v>70</v>
      </c>
      <c r="I106" t="s">
        <v>71</v>
      </c>
      <c r="J106" t="str">
        <f t="shared" si="1"/>
        <v>Michael Taylor</v>
      </c>
      <c r="K106" t="s">
        <v>24</v>
      </c>
      <c r="L106" s="1">
        <v>37177</v>
      </c>
      <c r="M106" s="3">
        <v>24</v>
      </c>
      <c r="N106">
        <v>7081396733</v>
      </c>
      <c r="O106" t="s">
        <v>25</v>
      </c>
      <c r="P106" s="1">
        <v>44797</v>
      </c>
      <c r="Q106" t="s">
        <v>16</v>
      </c>
      <c r="R106" t="s">
        <v>170</v>
      </c>
      <c r="S106" t="s">
        <v>73</v>
      </c>
      <c r="T106" s="1" t="str" cm="1">
        <f t="array" ref="T106">_xlfn.IFS(Table1[[#This Row],[age]]&lt;=17,"CHILD",Table1[[#This Row],[age]]&lt;=35,"YOUNG ADULT",Table1[[#This Row],[age]]&lt;=55,"MIDDLE AGE",Table1[[#This Row],[age]]&gt;=56,"SENIOR")</f>
        <v>YOUNG ADULT</v>
      </c>
    </row>
    <row r="107" spans="1:20" x14ac:dyDescent="0.3">
      <c r="A107" t="s">
        <v>285</v>
      </c>
      <c r="B107" t="s">
        <v>114</v>
      </c>
      <c r="C107" t="s">
        <v>144</v>
      </c>
      <c r="D107" s="1">
        <v>45228</v>
      </c>
      <c r="E107" s="2">
        <v>0.46875</v>
      </c>
      <c r="F107" t="s">
        <v>10</v>
      </c>
      <c r="G107" t="s">
        <v>11</v>
      </c>
      <c r="H107" t="s">
        <v>41</v>
      </c>
      <c r="I107" t="s">
        <v>50</v>
      </c>
      <c r="J107" t="str">
        <f t="shared" si="1"/>
        <v>Robert Williams</v>
      </c>
      <c r="K107" t="s">
        <v>24</v>
      </c>
      <c r="L107" s="1">
        <v>36196</v>
      </c>
      <c r="M107" s="3">
        <v>27</v>
      </c>
      <c r="N107">
        <v>8886800195</v>
      </c>
      <c r="O107" t="s">
        <v>51</v>
      </c>
      <c r="P107" s="1">
        <v>44469</v>
      </c>
      <c r="Q107" t="s">
        <v>43</v>
      </c>
      <c r="R107" t="s">
        <v>115</v>
      </c>
      <c r="S107" t="s">
        <v>116</v>
      </c>
      <c r="T107" s="1" t="str" cm="1">
        <f t="array" ref="T107">_xlfn.IFS(Table1[[#This Row],[age]]&lt;=17,"CHILD",Table1[[#This Row],[age]]&lt;=35,"YOUNG ADULT",Table1[[#This Row],[age]]&lt;=55,"MIDDLE AGE",Table1[[#This Row],[age]]&gt;=56,"SENIOR")</f>
        <v>YOUNG ADULT</v>
      </c>
    </row>
    <row r="108" spans="1:20" x14ac:dyDescent="0.3">
      <c r="A108" t="s">
        <v>286</v>
      </c>
      <c r="B108" t="s">
        <v>287</v>
      </c>
      <c r="C108" t="s">
        <v>62</v>
      </c>
      <c r="D108" s="1">
        <v>45033</v>
      </c>
      <c r="E108" s="2">
        <v>0.57291666666666663</v>
      </c>
      <c r="F108" t="s">
        <v>76</v>
      </c>
      <c r="G108" t="s">
        <v>82</v>
      </c>
      <c r="H108" t="s">
        <v>98</v>
      </c>
      <c r="I108" t="s">
        <v>104</v>
      </c>
      <c r="J108" t="str">
        <f t="shared" si="1"/>
        <v>Laura Davis</v>
      </c>
      <c r="K108" t="s">
        <v>24</v>
      </c>
      <c r="L108" s="1">
        <v>26278</v>
      </c>
      <c r="M108" s="3">
        <v>54</v>
      </c>
      <c r="N108">
        <v>7060324619</v>
      </c>
      <c r="O108" t="s">
        <v>15</v>
      </c>
      <c r="P108" s="1">
        <v>44822</v>
      </c>
      <c r="Q108" t="s">
        <v>35</v>
      </c>
      <c r="R108" t="s">
        <v>288</v>
      </c>
      <c r="S108" t="s">
        <v>106</v>
      </c>
      <c r="T108" s="1" t="str" cm="1">
        <f t="array" ref="T108">_xlfn.IFS(Table1[[#This Row],[age]]&lt;=17,"CHILD",Table1[[#This Row],[age]]&lt;=35,"YOUNG ADULT",Table1[[#This Row],[age]]&lt;=55,"MIDDLE AGE",Table1[[#This Row],[age]]&gt;=56,"SENIOR")</f>
        <v>MIDDLE AGE</v>
      </c>
    </row>
    <row r="109" spans="1:20" x14ac:dyDescent="0.3">
      <c r="A109" t="s">
        <v>289</v>
      </c>
      <c r="B109" t="s">
        <v>194</v>
      </c>
      <c r="C109" t="s">
        <v>144</v>
      </c>
      <c r="D109" s="1">
        <v>45037</v>
      </c>
      <c r="E109" s="2">
        <v>0.625</v>
      </c>
      <c r="F109" t="s">
        <v>49</v>
      </c>
      <c r="G109" t="s">
        <v>32</v>
      </c>
      <c r="H109" t="s">
        <v>181</v>
      </c>
      <c r="I109" t="s">
        <v>88</v>
      </c>
      <c r="J109" t="str">
        <f t="shared" si="1"/>
        <v>Sarah Brown</v>
      </c>
      <c r="K109" t="s">
        <v>14</v>
      </c>
      <c r="L109" s="1">
        <v>33546</v>
      </c>
      <c r="M109" s="3">
        <v>34</v>
      </c>
      <c r="N109">
        <v>7196777444</v>
      </c>
      <c r="O109" t="s">
        <v>15</v>
      </c>
      <c r="P109" s="1">
        <v>44441</v>
      </c>
      <c r="Q109" t="s">
        <v>16</v>
      </c>
      <c r="R109" t="s">
        <v>195</v>
      </c>
      <c r="S109" t="s">
        <v>196</v>
      </c>
      <c r="T109" s="1" t="str" cm="1">
        <f t="array" ref="T109">_xlfn.IFS(Table1[[#This Row],[age]]&lt;=17,"CHILD",Table1[[#This Row],[age]]&lt;=35,"YOUNG ADULT",Table1[[#This Row],[age]]&lt;=55,"MIDDLE AGE",Table1[[#This Row],[age]]&gt;=56,"SENIOR")</f>
        <v>YOUNG ADULT</v>
      </c>
    </row>
    <row r="110" spans="1:20" x14ac:dyDescent="0.3">
      <c r="A110" t="s">
        <v>290</v>
      </c>
      <c r="B110" t="s">
        <v>219</v>
      </c>
      <c r="C110" t="s">
        <v>144</v>
      </c>
      <c r="D110" s="1">
        <v>45136</v>
      </c>
      <c r="E110" s="2">
        <v>0.58333333333333337</v>
      </c>
      <c r="F110" t="s">
        <v>76</v>
      </c>
      <c r="G110" t="s">
        <v>11</v>
      </c>
      <c r="H110" t="s">
        <v>63</v>
      </c>
      <c r="I110" t="s">
        <v>42</v>
      </c>
      <c r="J110" t="str">
        <f t="shared" si="1"/>
        <v>David Wilson</v>
      </c>
      <c r="K110" t="s">
        <v>14</v>
      </c>
      <c r="L110" s="1">
        <v>34072</v>
      </c>
      <c r="M110" s="3">
        <v>33</v>
      </c>
      <c r="N110">
        <v>7039619487</v>
      </c>
      <c r="O110" t="s">
        <v>25</v>
      </c>
      <c r="P110" s="1">
        <v>45116</v>
      </c>
      <c r="Q110" t="s">
        <v>26</v>
      </c>
      <c r="R110" t="s">
        <v>220</v>
      </c>
      <c r="S110" t="s">
        <v>84</v>
      </c>
      <c r="T110" s="1" t="str" cm="1">
        <f t="array" ref="T110">_xlfn.IFS(Table1[[#This Row],[age]]&lt;=17,"CHILD",Table1[[#This Row],[age]]&lt;=35,"YOUNG ADULT",Table1[[#This Row],[age]]&lt;=55,"MIDDLE AGE",Table1[[#This Row],[age]]&gt;=56,"SENIOR")</f>
        <v>YOUNG ADULT</v>
      </c>
    </row>
    <row r="111" spans="1:20" x14ac:dyDescent="0.3">
      <c r="A111" t="s">
        <v>291</v>
      </c>
      <c r="B111" t="s">
        <v>133</v>
      </c>
      <c r="C111" t="s">
        <v>144</v>
      </c>
      <c r="D111" s="1">
        <v>45126</v>
      </c>
      <c r="E111" s="2">
        <v>0.60416666666666663</v>
      </c>
      <c r="F111" t="s">
        <v>31</v>
      </c>
      <c r="G111" t="s">
        <v>11</v>
      </c>
      <c r="H111" t="s">
        <v>63</v>
      </c>
      <c r="I111" t="s">
        <v>23</v>
      </c>
      <c r="J111" t="str">
        <f t="shared" si="1"/>
        <v>David Moore</v>
      </c>
      <c r="K111" t="s">
        <v>24</v>
      </c>
      <c r="L111" s="1">
        <v>26629</v>
      </c>
      <c r="M111" s="3">
        <v>53</v>
      </c>
      <c r="N111">
        <v>7712937941</v>
      </c>
      <c r="O111" t="s">
        <v>15</v>
      </c>
      <c r="P111" s="1">
        <v>45091</v>
      </c>
      <c r="Q111" t="s">
        <v>26</v>
      </c>
      <c r="R111" t="s">
        <v>134</v>
      </c>
      <c r="S111" t="s">
        <v>135</v>
      </c>
      <c r="T111" s="1" t="str" cm="1">
        <f t="array" ref="T111">_xlfn.IFS(Table1[[#This Row],[age]]&lt;=17,"CHILD",Table1[[#This Row],[age]]&lt;=35,"YOUNG ADULT",Table1[[#This Row],[age]]&lt;=55,"MIDDLE AGE",Table1[[#This Row],[age]]&gt;=56,"SENIOR")</f>
        <v>MIDDLE AGE</v>
      </c>
    </row>
    <row r="112" spans="1:20" x14ac:dyDescent="0.3">
      <c r="A112" t="s">
        <v>292</v>
      </c>
      <c r="B112" t="s">
        <v>219</v>
      </c>
      <c r="C112" t="s">
        <v>69</v>
      </c>
      <c r="D112" s="1">
        <v>45068</v>
      </c>
      <c r="E112" s="2">
        <v>0.64583333333333337</v>
      </c>
      <c r="F112" t="s">
        <v>76</v>
      </c>
      <c r="G112" t="s">
        <v>11</v>
      </c>
      <c r="H112" t="s">
        <v>63</v>
      </c>
      <c r="I112" t="s">
        <v>42</v>
      </c>
      <c r="J112" t="str">
        <f t="shared" si="1"/>
        <v>David Wilson</v>
      </c>
      <c r="K112" t="s">
        <v>14</v>
      </c>
      <c r="L112" s="1">
        <v>34072</v>
      </c>
      <c r="M112" s="3">
        <v>33</v>
      </c>
      <c r="N112">
        <v>7039619487</v>
      </c>
      <c r="O112" t="s">
        <v>25</v>
      </c>
      <c r="P112" s="1">
        <v>45116</v>
      </c>
      <c r="Q112" t="s">
        <v>26</v>
      </c>
      <c r="R112" t="s">
        <v>220</v>
      </c>
      <c r="S112" t="s">
        <v>84</v>
      </c>
      <c r="T112" s="1" t="str" cm="1">
        <f t="array" ref="T112">_xlfn.IFS(Table1[[#This Row],[age]]&lt;=17,"CHILD",Table1[[#This Row],[age]]&lt;=35,"YOUNG ADULT",Table1[[#This Row],[age]]&lt;=55,"MIDDLE AGE",Table1[[#This Row],[age]]&gt;=56,"SENIOR")</f>
        <v>YOUNG ADULT</v>
      </c>
    </row>
    <row r="113" spans="1:20" x14ac:dyDescent="0.3">
      <c r="A113" t="s">
        <v>293</v>
      </c>
      <c r="B113" t="s">
        <v>30</v>
      </c>
      <c r="C113" t="s">
        <v>69</v>
      </c>
      <c r="D113" s="1">
        <v>44937</v>
      </c>
      <c r="E113" s="2">
        <v>0.33333333333333331</v>
      </c>
      <c r="F113" t="s">
        <v>76</v>
      </c>
      <c r="G113" t="s">
        <v>22</v>
      </c>
      <c r="H113" t="s">
        <v>33</v>
      </c>
      <c r="I113" t="s">
        <v>34</v>
      </c>
      <c r="J113" t="str">
        <f t="shared" si="1"/>
        <v>Emily Miller</v>
      </c>
      <c r="K113" t="s">
        <v>24</v>
      </c>
      <c r="L113" s="1">
        <v>30399</v>
      </c>
      <c r="M113" s="3">
        <v>43</v>
      </c>
      <c r="N113">
        <v>8720989381</v>
      </c>
      <c r="O113" t="s">
        <v>25</v>
      </c>
      <c r="P113" s="1">
        <v>45096</v>
      </c>
      <c r="Q113" t="s">
        <v>35</v>
      </c>
      <c r="R113" t="s">
        <v>36</v>
      </c>
      <c r="S113" t="s">
        <v>37</v>
      </c>
      <c r="T113" s="1" t="str" cm="1">
        <f t="array" ref="T113">_xlfn.IFS(Table1[[#This Row],[age]]&lt;=17,"CHILD",Table1[[#This Row],[age]]&lt;=35,"YOUNG ADULT",Table1[[#This Row],[age]]&lt;=55,"MIDDLE AGE",Table1[[#This Row],[age]]&gt;=56,"SENIOR")</f>
        <v>MIDDLE AGE</v>
      </c>
    </row>
    <row r="114" spans="1:20" x14ac:dyDescent="0.3">
      <c r="A114" t="s">
        <v>294</v>
      </c>
      <c r="B114" t="s">
        <v>156</v>
      </c>
      <c r="C114" t="s">
        <v>48</v>
      </c>
      <c r="D114" s="1">
        <v>45254</v>
      </c>
      <c r="E114" s="2">
        <v>0.64583333333333337</v>
      </c>
      <c r="F114" t="s">
        <v>31</v>
      </c>
      <c r="G114" t="s">
        <v>32</v>
      </c>
      <c r="H114" t="s">
        <v>70</v>
      </c>
      <c r="I114" t="s">
        <v>42</v>
      </c>
      <c r="J114" t="str">
        <f t="shared" si="1"/>
        <v>Michael Wilson</v>
      </c>
      <c r="K114" t="s">
        <v>24</v>
      </c>
      <c r="L114" s="1">
        <v>35790</v>
      </c>
      <c r="M114" s="3">
        <v>28</v>
      </c>
      <c r="N114">
        <v>8545613046</v>
      </c>
      <c r="O114" t="s">
        <v>25</v>
      </c>
      <c r="P114" s="1">
        <v>44838</v>
      </c>
      <c r="Q114" t="s">
        <v>26</v>
      </c>
      <c r="R114" t="s">
        <v>157</v>
      </c>
      <c r="S114" t="s">
        <v>153</v>
      </c>
      <c r="T114" s="1" t="str" cm="1">
        <f t="array" ref="T114">_xlfn.IFS(Table1[[#This Row],[age]]&lt;=17,"CHILD",Table1[[#This Row],[age]]&lt;=35,"YOUNG ADULT",Table1[[#This Row],[age]]&lt;=55,"MIDDLE AGE",Table1[[#This Row],[age]]&gt;=56,"SENIOR")</f>
        <v>YOUNG ADULT</v>
      </c>
    </row>
    <row r="115" spans="1:20" x14ac:dyDescent="0.3">
      <c r="A115" t="s">
        <v>295</v>
      </c>
      <c r="B115" t="s">
        <v>296</v>
      </c>
      <c r="C115" t="s">
        <v>119</v>
      </c>
      <c r="D115" s="1">
        <v>45146</v>
      </c>
      <c r="E115" s="2">
        <v>0.375</v>
      </c>
      <c r="F115" t="s">
        <v>10</v>
      </c>
      <c r="G115" t="s">
        <v>82</v>
      </c>
      <c r="H115" t="s">
        <v>98</v>
      </c>
      <c r="I115" t="s">
        <v>42</v>
      </c>
      <c r="J115" t="str">
        <f t="shared" si="1"/>
        <v>Laura Wilson</v>
      </c>
      <c r="K115" t="s">
        <v>24</v>
      </c>
      <c r="L115" s="1">
        <v>29122</v>
      </c>
      <c r="M115" s="3">
        <v>46</v>
      </c>
      <c r="N115">
        <v>7145815738</v>
      </c>
      <c r="O115" t="s">
        <v>64</v>
      </c>
      <c r="P115" s="1">
        <v>44827</v>
      </c>
      <c r="Q115" t="s">
        <v>35</v>
      </c>
      <c r="R115" t="s">
        <v>297</v>
      </c>
      <c r="S115" t="s">
        <v>217</v>
      </c>
      <c r="T115" s="1" t="str" cm="1">
        <f t="array" ref="T115">_xlfn.IFS(Table1[[#This Row],[age]]&lt;=17,"CHILD",Table1[[#This Row],[age]]&lt;=35,"YOUNG ADULT",Table1[[#This Row],[age]]&lt;=55,"MIDDLE AGE",Table1[[#This Row],[age]]&gt;=56,"SENIOR")</f>
        <v>MIDDLE AGE</v>
      </c>
    </row>
    <row r="116" spans="1:20" x14ac:dyDescent="0.3">
      <c r="A116" t="s">
        <v>298</v>
      </c>
      <c r="B116" t="s">
        <v>133</v>
      </c>
      <c r="C116" t="s">
        <v>144</v>
      </c>
      <c r="D116" s="1">
        <v>45224</v>
      </c>
      <c r="E116" s="2">
        <v>0.4375</v>
      </c>
      <c r="F116" t="s">
        <v>10</v>
      </c>
      <c r="G116" t="s">
        <v>22</v>
      </c>
      <c r="H116" t="s">
        <v>63</v>
      </c>
      <c r="I116" t="s">
        <v>23</v>
      </c>
      <c r="J116" t="str">
        <f t="shared" si="1"/>
        <v>David Moore</v>
      </c>
      <c r="K116" t="s">
        <v>24</v>
      </c>
      <c r="L116" s="1">
        <v>26629</v>
      </c>
      <c r="M116" s="3">
        <v>53</v>
      </c>
      <c r="N116">
        <v>7712937941</v>
      </c>
      <c r="O116" t="s">
        <v>15</v>
      </c>
      <c r="P116" s="1">
        <v>45091</v>
      </c>
      <c r="Q116" t="s">
        <v>26</v>
      </c>
      <c r="R116" t="s">
        <v>134</v>
      </c>
      <c r="S116" t="s">
        <v>135</v>
      </c>
      <c r="T116" s="1" t="str" cm="1">
        <f t="array" ref="T116">_xlfn.IFS(Table1[[#This Row],[age]]&lt;=17,"CHILD",Table1[[#This Row],[age]]&lt;=35,"YOUNG ADULT",Table1[[#This Row],[age]]&lt;=55,"MIDDLE AGE",Table1[[#This Row],[age]]&gt;=56,"SENIOR")</f>
        <v>MIDDLE AGE</v>
      </c>
    </row>
    <row r="117" spans="1:20" x14ac:dyDescent="0.3">
      <c r="A117" t="s">
        <v>299</v>
      </c>
      <c r="B117" t="s">
        <v>75</v>
      </c>
      <c r="C117" t="s">
        <v>9</v>
      </c>
      <c r="D117" s="1">
        <v>45114</v>
      </c>
      <c r="E117" s="2">
        <v>0.38541666666666669</v>
      </c>
      <c r="F117" t="s">
        <v>76</v>
      </c>
      <c r="G117" t="s">
        <v>22</v>
      </c>
      <c r="H117" t="s">
        <v>77</v>
      </c>
      <c r="I117" t="s">
        <v>42</v>
      </c>
      <c r="J117" t="str">
        <f t="shared" si="1"/>
        <v>Jane Wilson</v>
      </c>
      <c r="K117" t="s">
        <v>14</v>
      </c>
      <c r="L117" s="1">
        <v>18609</v>
      </c>
      <c r="M117" s="3">
        <v>75</v>
      </c>
      <c r="N117">
        <v>9271131338</v>
      </c>
      <c r="O117" t="s">
        <v>64</v>
      </c>
      <c r="P117" s="1">
        <v>44264</v>
      </c>
      <c r="Q117" t="s">
        <v>35</v>
      </c>
      <c r="R117" t="s">
        <v>78</v>
      </c>
      <c r="S117" t="s">
        <v>79</v>
      </c>
      <c r="T117" s="1" t="str" cm="1">
        <f t="array" ref="T117">_xlfn.IFS(Table1[[#This Row],[age]]&lt;=17,"CHILD",Table1[[#This Row],[age]]&lt;=35,"YOUNG ADULT",Table1[[#This Row],[age]]&lt;=55,"MIDDLE AGE",Table1[[#This Row],[age]]&gt;=56,"SENIOR")</f>
        <v>SENIOR</v>
      </c>
    </row>
    <row r="118" spans="1:20" x14ac:dyDescent="0.3">
      <c r="A118" t="s">
        <v>300</v>
      </c>
      <c r="B118" t="s">
        <v>20</v>
      </c>
      <c r="C118" t="s">
        <v>119</v>
      </c>
      <c r="D118" s="1">
        <v>45097</v>
      </c>
      <c r="E118" s="2">
        <v>0.57291666666666663</v>
      </c>
      <c r="F118" t="s">
        <v>31</v>
      </c>
      <c r="G118" t="s">
        <v>22</v>
      </c>
      <c r="H118" t="s">
        <v>12</v>
      </c>
      <c r="I118" t="s">
        <v>23</v>
      </c>
      <c r="J118" t="str">
        <f t="shared" si="1"/>
        <v>Alex Moore</v>
      </c>
      <c r="K118" t="s">
        <v>24</v>
      </c>
      <c r="L118" s="1">
        <v>29594</v>
      </c>
      <c r="M118" s="3">
        <v>45</v>
      </c>
      <c r="N118">
        <v>8102183595</v>
      </c>
      <c r="O118" t="s">
        <v>25</v>
      </c>
      <c r="P118" s="1">
        <v>44471</v>
      </c>
      <c r="Q118" t="s">
        <v>26</v>
      </c>
      <c r="R118" t="s">
        <v>27</v>
      </c>
      <c r="S118" t="s">
        <v>28</v>
      </c>
      <c r="T118" s="1" t="str" cm="1">
        <f t="array" ref="T118">_xlfn.IFS(Table1[[#This Row],[age]]&lt;=17,"CHILD",Table1[[#This Row],[age]]&lt;=35,"YOUNG ADULT",Table1[[#This Row],[age]]&lt;=55,"MIDDLE AGE",Table1[[#This Row],[age]]&gt;=56,"SENIOR")</f>
        <v>MIDDLE AGE</v>
      </c>
    </row>
    <row r="119" spans="1:20" x14ac:dyDescent="0.3">
      <c r="A119" t="s">
        <v>301</v>
      </c>
      <c r="B119" t="s">
        <v>194</v>
      </c>
      <c r="C119" t="s">
        <v>48</v>
      </c>
      <c r="D119" s="1">
        <v>45147</v>
      </c>
      <c r="E119" s="2">
        <v>0.34375</v>
      </c>
      <c r="F119" t="s">
        <v>31</v>
      </c>
      <c r="G119" t="s">
        <v>11</v>
      </c>
      <c r="H119" t="s">
        <v>181</v>
      </c>
      <c r="I119" t="s">
        <v>88</v>
      </c>
      <c r="J119" t="str">
        <f t="shared" si="1"/>
        <v>Sarah Brown</v>
      </c>
      <c r="K119" t="s">
        <v>14</v>
      </c>
      <c r="L119" s="1">
        <v>33546</v>
      </c>
      <c r="M119" s="3">
        <v>34</v>
      </c>
      <c r="N119">
        <v>7196777444</v>
      </c>
      <c r="O119" t="s">
        <v>15</v>
      </c>
      <c r="P119" s="1">
        <v>44441</v>
      </c>
      <c r="Q119" t="s">
        <v>16</v>
      </c>
      <c r="R119" t="s">
        <v>195</v>
      </c>
      <c r="S119" t="s">
        <v>196</v>
      </c>
      <c r="T119" s="1" t="str" cm="1">
        <f t="array" ref="T119">_xlfn.IFS(Table1[[#This Row],[age]]&lt;=17,"CHILD",Table1[[#This Row],[age]]&lt;=35,"YOUNG ADULT",Table1[[#This Row],[age]]&lt;=55,"MIDDLE AGE",Table1[[#This Row],[age]]&gt;=56,"SENIOR")</f>
        <v>YOUNG ADULT</v>
      </c>
    </row>
    <row r="120" spans="1:20" x14ac:dyDescent="0.3">
      <c r="A120" t="s">
        <v>302</v>
      </c>
      <c r="B120" t="s">
        <v>164</v>
      </c>
      <c r="C120" t="s">
        <v>21</v>
      </c>
      <c r="D120" s="1">
        <v>45278</v>
      </c>
      <c r="E120" s="2">
        <v>0.5625</v>
      </c>
      <c r="F120" t="s">
        <v>49</v>
      </c>
      <c r="G120" t="s">
        <v>32</v>
      </c>
      <c r="H120" t="s">
        <v>57</v>
      </c>
      <c r="I120" t="s">
        <v>165</v>
      </c>
      <c r="J120" t="str">
        <f t="shared" si="1"/>
        <v>Linda Johnson</v>
      </c>
      <c r="K120" t="s">
        <v>24</v>
      </c>
      <c r="L120" s="1">
        <v>34387</v>
      </c>
      <c r="M120" s="3">
        <v>32</v>
      </c>
      <c r="N120">
        <v>6141951830</v>
      </c>
      <c r="O120" t="s">
        <v>64</v>
      </c>
      <c r="P120" s="1">
        <v>44557</v>
      </c>
      <c r="Q120" t="s">
        <v>16</v>
      </c>
      <c r="R120" t="s">
        <v>166</v>
      </c>
      <c r="S120" t="s">
        <v>167</v>
      </c>
      <c r="T120" s="1" t="str" cm="1">
        <f t="array" ref="T120">_xlfn.IFS(Table1[[#This Row],[age]]&lt;=17,"CHILD",Table1[[#This Row],[age]]&lt;=35,"YOUNG ADULT",Table1[[#This Row],[age]]&lt;=55,"MIDDLE AGE",Table1[[#This Row],[age]]&gt;=56,"SENIOR")</f>
        <v>YOUNG ADULT</v>
      </c>
    </row>
    <row r="121" spans="1:20" x14ac:dyDescent="0.3">
      <c r="A121" t="s">
        <v>303</v>
      </c>
      <c r="B121" t="s">
        <v>20</v>
      </c>
      <c r="C121" t="s">
        <v>119</v>
      </c>
      <c r="D121" s="1">
        <v>45268</v>
      </c>
      <c r="E121" s="2">
        <v>0.45833333333333331</v>
      </c>
      <c r="F121" t="s">
        <v>10</v>
      </c>
      <c r="G121" t="s">
        <v>22</v>
      </c>
      <c r="H121" t="s">
        <v>12</v>
      </c>
      <c r="I121" t="s">
        <v>23</v>
      </c>
      <c r="J121" t="str">
        <f t="shared" si="1"/>
        <v>Alex Moore</v>
      </c>
      <c r="K121" t="s">
        <v>24</v>
      </c>
      <c r="L121" s="1">
        <v>29594</v>
      </c>
      <c r="M121" s="3">
        <v>45</v>
      </c>
      <c r="N121">
        <v>8102183595</v>
      </c>
      <c r="O121" t="s">
        <v>25</v>
      </c>
      <c r="P121" s="1">
        <v>44471</v>
      </c>
      <c r="Q121" t="s">
        <v>26</v>
      </c>
      <c r="R121" t="s">
        <v>27</v>
      </c>
      <c r="S121" t="s">
        <v>28</v>
      </c>
      <c r="T121" s="1" t="str" cm="1">
        <f t="array" ref="T121">_xlfn.IFS(Table1[[#This Row],[age]]&lt;=17,"CHILD",Table1[[#This Row],[age]]&lt;=35,"YOUNG ADULT",Table1[[#This Row],[age]]&lt;=55,"MIDDLE AGE",Table1[[#This Row],[age]]&gt;=56,"SENIOR")</f>
        <v>MIDDLE AGE</v>
      </c>
    </row>
    <row r="122" spans="1:20" x14ac:dyDescent="0.3">
      <c r="A122" t="s">
        <v>304</v>
      </c>
      <c r="B122" t="s">
        <v>114</v>
      </c>
      <c r="C122" t="s">
        <v>119</v>
      </c>
      <c r="D122" s="1">
        <v>45023</v>
      </c>
      <c r="E122" s="2">
        <v>0.625</v>
      </c>
      <c r="F122" t="s">
        <v>56</v>
      </c>
      <c r="G122" t="s">
        <v>82</v>
      </c>
      <c r="H122" t="s">
        <v>41</v>
      </c>
      <c r="I122" t="s">
        <v>50</v>
      </c>
      <c r="J122" t="str">
        <f t="shared" si="1"/>
        <v>Robert Williams</v>
      </c>
      <c r="K122" t="s">
        <v>24</v>
      </c>
      <c r="L122" s="1">
        <v>36196</v>
      </c>
      <c r="M122" s="3">
        <v>27</v>
      </c>
      <c r="N122">
        <v>8886800195</v>
      </c>
      <c r="O122" t="s">
        <v>51</v>
      </c>
      <c r="P122" s="1">
        <v>44469</v>
      </c>
      <c r="Q122" t="s">
        <v>43</v>
      </c>
      <c r="R122" t="s">
        <v>115</v>
      </c>
      <c r="S122" t="s">
        <v>116</v>
      </c>
      <c r="T122" s="1" t="str" cm="1">
        <f t="array" ref="T122">_xlfn.IFS(Table1[[#This Row],[age]]&lt;=17,"CHILD",Table1[[#This Row],[age]]&lt;=35,"YOUNG ADULT",Table1[[#This Row],[age]]&lt;=55,"MIDDLE AGE",Table1[[#This Row],[age]]&gt;=56,"SENIOR")</f>
        <v>YOUNG ADULT</v>
      </c>
    </row>
    <row r="123" spans="1:20" x14ac:dyDescent="0.3">
      <c r="A123" t="s">
        <v>305</v>
      </c>
      <c r="B123" t="s">
        <v>103</v>
      </c>
      <c r="C123" t="s">
        <v>112</v>
      </c>
      <c r="D123" s="1">
        <v>45118</v>
      </c>
      <c r="E123" s="2">
        <v>0.60416666666666663</v>
      </c>
      <c r="F123" t="s">
        <v>10</v>
      </c>
      <c r="G123" t="s">
        <v>32</v>
      </c>
      <c r="H123" t="s">
        <v>98</v>
      </c>
      <c r="I123" t="s">
        <v>104</v>
      </c>
      <c r="J123" t="str">
        <f t="shared" si="1"/>
        <v>Laura Davis</v>
      </c>
      <c r="K123" t="s">
        <v>14</v>
      </c>
      <c r="L123" s="1">
        <v>33580</v>
      </c>
      <c r="M123" s="3">
        <v>34</v>
      </c>
      <c r="N123">
        <v>8135666049</v>
      </c>
      <c r="O123" t="s">
        <v>15</v>
      </c>
      <c r="P123" s="1">
        <v>45043</v>
      </c>
      <c r="Q123" t="s">
        <v>26</v>
      </c>
      <c r="R123" t="s">
        <v>105</v>
      </c>
      <c r="S123" t="s">
        <v>106</v>
      </c>
      <c r="T123" s="1" t="str" cm="1">
        <f t="array" ref="T123">_xlfn.IFS(Table1[[#This Row],[age]]&lt;=17,"CHILD",Table1[[#This Row],[age]]&lt;=35,"YOUNG ADULT",Table1[[#This Row],[age]]&lt;=55,"MIDDLE AGE",Table1[[#This Row],[age]]&gt;=56,"SENIOR")</f>
        <v>YOUNG ADULT</v>
      </c>
    </row>
    <row r="124" spans="1:20" x14ac:dyDescent="0.3">
      <c r="A124" t="s">
        <v>306</v>
      </c>
      <c r="B124" t="s">
        <v>133</v>
      </c>
      <c r="C124" t="s">
        <v>97</v>
      </c>
      <c r="D124" s="1">
        <v>44985</v>
      </c>
      <c r="E124" s="2">
        <v>0.44791666666666669</v>
      </c>
      <c r="F124" t="s">
        <v>10</v>
      </c>
      <c r="G124" t="s">
        <v>82</v>
      </c>
      <c r="H124" t="s">
        <v>63</v>
      </c>
      <c r="I124" t="s">
        <v>23</v>
      </c>
      <c r="J124" t="str">
        <f t="shared" si="1"/>
        <v>David Moore</v>
      </c>
      <c r="K124" t="s">
        <v>24</v>
      </c>
      <c r="L124" s="1">
        <v>26629</v>
      </c>
      <c r="M124" s="3">
        <v>53</v>
      </c>
      <c r="N124">
        <v>7712937941</v>
      </c>
      <c r="O124" t="s">
        <v>15</v>
      </c>
      <c r="P124" s="1">
        <v>45091</v>
      </c>
      <c r="Q124" t="s">
        <v>26</v>
      </c>
      <c r="R124" t="s">
        <v>134</v>
      </c>
      <c r="S124" t="s">
        <v>135</v>
      </c>
      <c r="T124" s="1" t="str" cm="1">
        <f t="array" ref="T124">_xlfn.IFS(Table1[[#This Row],[age]]&lt;=17,"CHILD",Table1[[#This Row],[age]]&lt;=35,"YOUNG ADULT",Table1[[#This Row],[age]]&lt;=55,"MIDDLE AGE",Table1[[#This Row],[age]]&gt;=56,"SENIOR")</f>
        <v>MIDDLE AGE</v>
      </c>
    </row>
    <row r="125" spans="1:20" x14ac:dyDescent="0.3">
      <c r="A125" t="s">
        <v>307</v>
      </c>
      <c r="B125" t="s">
        <v>241</v>
      </c>
      <c r="C125" t="s">
        <v>112</v>
      </c>
      <c r="D125" s="1">
        <v>45001</v>
      </c>
      <c r="E125" s="2">
        <v>0.71875</v>
      </c>
      <c r="F125" t="s">
        <v>49</v>
      </c>
      <c r="G125" t="s">
        <v>32</v>
      </c>
      <c r="H125" t="s">
        <v>98</v>
      </c>
      <c r="I125" t="s">
        <v>165</v>
      </c>
      <c r="J125" t="str">
        <f t="shared" si="1"/>
        <v>Laura Johnson</v>
      </c>
      <c r="K125" t="s">
        <v>14</v>
      </c>
      <c r="L125" s="1">
        <v>32960</v>
      </c>
      <c r="M125" s="3">
        <v>36</v>
      </c>
      <c r="N125">
        <v>9059178882</v>
      </c>
      <c r="O125" t="s">
        <v>15</v>
      </c>
      <c r="P125" s="1">
        <v>44553</v>
      </c>
      <c r="Q125" t="s">
        <v>16</v>
      </c>
      <c r="R125" t="s">
        <v>242</v>
      </c>
      <c r="S125" t="s">
        <v>243</v>
      </c>
      <c r="T125" s="1" t="str" cm="1">
        <f t="array" ref="T125">_xlfn.IFS(Table1[[#This Row],[age]]&lt;=17,"CHILD",Table1[[#This Row],[age]]&lt;=35,"YOUNG ADULT",Table1[[#This Row],[age]]&lt;=55,"MIDDLE AGE",Table1[[#This Row],[age]]&gt;=56,"SENIOR")</f>
        <v>MIDDLE AGE</v>
      </c>
    </row>
    <row r="126" spans="1:20" x14ac:dyDescent="0.3">
      <c r="A126" t="s">
        <v>308</v>
      </c>
      <c r="B126" t="s">
        <v>164</v>
      </c>
      <c r="C126" t="s">
        <v>62</v>
      </c>
      <c r="D126" s="1">
        <v>44975</v>
      </c>
      <c r="E126" s="2">
        <v>0.42708333333333331</v>
      </c>
      <c r="F126" t="s">
        <v>56</v>
      </c>
      <c r="G126" t="s">
        <v>82</v>
      </c>
      <c r="H126" t="s">
        <v>57</v>
      </c>
      <c r="I126" t="s">
        <v>165</v>
      </c>
      <c r="J126" t="str">
        <f t="shared" si="1"/>
        <v>Linda Johnson</v>
      </c>
      <c r="K126" t="s">
        <v>24</v>
      </c>
      <c r="L126" s="1">
        <v>34387</v>
      </c>
      <c r="M126" s="3">
        <v>32</v>
      </c>
      <c r="N126">
        <v>6141951830</v>
      </c>
      <c r="O126" t="s">
        <v>64</v>
      </c>
      <c r="P126" s="1">
        <v>44557</v>
      </c>
      <c r="Q126" t="s">
        <v>16</v>
      </c>
      <c r="R126" t="s">
        <v>166</v>
      </c>
      <c r="S126" t="s">
        <v>167</v>
      </c>
      <c r="T126" s="1" t="str" cm="1">
        <f t="array" ref="T126">_xlfn.IFS(Table1[[#This Row],[age]]&lt;=17,"CHILD",Table1[[#This Row],[age]]&lt;=35,"YOUNG ADULT",Table1[[#This Row],[age]]&lt;=55,"MIDDLE AGE",Table1[[#This Row],[age]]&gt;=56,"SENIOR")</f>
        <v>YOUNG ADULT</v>
      </c>
    </row>
    <row r="127" spans="1:20" x14ac:dyDescent="0.3">
      <c r="A127" t="s">
        <v>309</v>
      </c>
      <c r="B127" t="s">
        <v>39</v>
      </c>
      <c r="C127" t="s">
        <v>69</v>
      </c>
      <c r="D127" s="1">
        <v>45232</v>
      </c>
      <c r="E127" s="2">
        <v>0.40625</v>
      </c>
      <c r="F127" t="s">
        <v>49</v>
      </c>
      <c r="G127" t="s">
        <v>11</v>
      </c>
      <c r="H127" t="s">
        <v>41</v>
      </c>
      <c r="I127" t="s">
        <v>42</v>
      </c>
      <c r="J127" t="str">
        <f t="shared" si="1"/>
        <v>Robert Wilson</v>
      </c>
      <c r="K127" t="s">
        <v>24</v>
      </c>
      <c r="L127" s="1">
        <v>24333</v>
      </c>
      <c r="M127" s="3">
        <v>60</v>
      </c>
      <c r="N127">
        <v>7482069727</v>
      </c>
      <c r="O127" t="s">
        <v>25</v>
      </c>
      <c r="P127" s="1">
        <v>44448</v>
      </c>
      <c r="Q127" t="s">
        <v>43</v>
      </c>
      <c r="R127" t="s">
        <v>44</v>
      </c>
      <c r="S127" t="s">
        <v>45</v>
      </c>
      <c r="T127" s="1" t="str" cm="1">
        <f t="array" ref="T127">_xlfn.IFS(Table1[[#This Row],[age]]&lt;=17,"CHILD",Table1[[#This Row],[age]]&lt;=35,"YOUNG ADULT",Table1[[#This Row],[age]]&lt;=55,"MIDDLE AGE",Table1[[#This Row],[age]]&gt;=56,"SENIOR")</f>
        <v>SENIOR</v>
      </c>
    </row>
    <row r="128" spans="1:20" x14ac:dyDescent="0.3">
      <c r="A128" t="s">
        <v>310</v>
      </c>
      <c r="B128" t="s">
        <v>219</v>
      </c>
      <c r="C128" t="s">
        <v>69</v>
      </c>
      <c r="D128" s="1">
        <v>45243</v>
      </c>
      <c r="E128" s="2">
        <v>0.35416666666666669</v>
      </c>
      <c r="F128" t="s">
        <v>56</v>
      </c>
      <c r="G128" t="s">
        <v>22</v>
      </c>
      <c r="H128" t="s">
        <v>63</v>
      </c>
      <c r="I128" t="s">
        <v>42</v>
      </c>
      <c r="J128" t="str">
        <f t="shared" si="1"/>
        <v>David Wilson</v>
      </c>
      <c r="K128" t="s">
        <v>14</v>
      </c>
      <c r="L128" s="1">
        <v>34072</v>
      </c>
      <c r="M128" s="3">
        <v>33</v>
      </c>
      <c r="N128">
        <v>7039619487</v>
      </c>
      <c r="O128" t="s">
        <v>25</v>
      </c>
      <c r="P128" s="1">
        <v>45116</v>
      </c>
      <c r="Q128" t="s">
        <v>26</v>
      </c>
      <c r="R128" t="s">
        <v>220</v>
      </c>
      <c r="S128" t="s">
        <v>84</v>
      </c>
      <c r="T128" s="1" t="str" cm="1">
        <f t="array" ref="T128">_xlfn.IFS(Table1[[#This Row],[age]]&lt;=17,"CHILD",Table1[[#This Row],[age]]&lt;=35,"YOUNG ADULT",Table1[[#This Row],[age]]&lt;=55,"MIDDLE AGE",Table1[[#This Row],[age]]&gt;=56,"SENIOR")</f>
        <v>YOUNG ADULT</v>
      </c>
    </row>
    <row r="129" spans="1:20" x14ac:dyDescent="0.3">
      <c r="A129" t="s">
        <v>311</v>
      </c>
      <c r="B129" t="s">
        <v>266</v>
      </c>
      <c r="C129" t="s">
        <v>97</v>
      </c>
      <c r="D129" s="1">
        <v>45031</v>
      </c>
      <c r="E129" s="2">
        <v>0.61458333333333337</v>
      </c>
      <c r="F129" t="s">
        <v>76</v>
      </c>
      <c r="G129" t="s">
        <v>82</v>
      </c>
      <c r="H129" t="s">
        <v>41</v>
      </c>
      <c r="I129" t="s">
        <v>50</v>
      </c>
      <c r="J129" t="str">
        <f t="shared" si="1"/>
        <v>Robert Williams</v>
      </c>
      <c r="K129" t="s">
        <v>24</v>
      </c>
      <c r="L129" s="1">
        <v>18798</v>
      </c>
      <c r="M129" s="3">
        <v>75</v>
      </c>
      <c r="N129">
        <v>7020645498</v>
      </c>
      <c r="O129" t="s">
        <v>51</v>
      </c>
      <c r="P129" s="1">
        <v>44758</v>
      </c>
      <c r="Q129" t="s">
        <v>16</v>
      </c>
      <c r="R129" t="s">
        <v>267</v>
      </c>
      <c r="S129" t="s">
        <v>116</v>
      </c>
      <c r="T129" s="1" t="str" cm="1">
        <f t="array" ref="T129">_xlfn.IFS(Table1[[#This Row],[age]]&lt;=17,"CHILD",Table1[[#This Row],[age]]&lt;=35,"YOUNG ADULT",Table1[[#This Row],[age]]&lt;=55,"MIDDLE AGE",Table1[[#This Row],[age]]&gt;=56,"SENIOR")</f>
        <v>SENIOR</v>
      </c>
    </row>
    <row r="130" spans="1:20" x14ac:dyDescent="0.3">
      <c r="A130" t="s">
        <v>312</v>
      </c>
      <c r="B130" t="s">
        <v>137</v>
      </c>
      <c r="C130" t="s">
        <v>40</v>
      </c>
      <c r="D130" s="1">
        <v>45163</v>
      </c>
      <c r="E130" s="2">
        <v>0.39583333333333331</v>
      </c>
      <c r="F130" t="s">
        <v>56</v>
      </c>
      <c r="G130" t="s">
        <v>32</v>
      </c>
      <c r="H130" t="s">
        <v>33</v>
      </c>
      <c r="I130" t="s">
        <v>23</v>
      </c>
      <c r="J130" t="str">
        <f t="shared" si="1"/>
        <v>Emily Moore</v>
      </c>
      <c r="K130" t="s">
        <v>24</v>
      </c>
      <c r="L130" s="1">
        <v>23734</v>
      </c>
      <c r="M130" s="3">
        <v>61</v>
      </c>
      <c r="N130">
        <v>6622318721</v>
      </c>
      <c r="O130" t="s">
        <v>51</v>
      </c>
      <c r="P130" s="1">
        <v>44415</v>
      </c>
      <c r="Q130" t="s">
        <v>35</v>
      </c>
      <c r="R130" t="s">
        <v>138</v>
      </c>
      <c r="S130" t="s">
        <v>139</v>
      </c>
      <c r="T130" s="1" t="str" cm="1">
        <f t="array" ref="T130">_xlfn.IFS(Table1[[#This Row],[age]]&lt;=17,"CHILD",Table1[[#This Row],[age]]&lt;=35,"YOUNG ADULT",Table1[[#This Row],[age]]&lt;=55,"MIDDLE AGE",Table1[[#This Row],[age]]&gt;=56,"SENIOR")</f>
        <v>SENIOR</v>
      </c>
    </row>
    <row r="131" spans="1:20" x14ac:dyDescent="0.3">
      <c r="A131" t="s">
        <v>313</v>
      </c>
      <c r="B131" t="s">
        <v>252</v>
      </c>
      <c r="C131" t="s">
        <v>40</v>
      </c>
      <c r="D131" s="1">
        <v>44980</v>
      </c>
      <c r="E131" s="2">
        <v>0.625</v>
      </c>
      <c r="F131" t="s">
        <v>49</v>
      </c>
      <c r="G131" t="s">
        <v>22</v>
      </c>
      <c r="H131" t="s">
        <v>77</v>
      </c>
      <c r="I131" t="s">
        <v>99</v>
      </c>
      <c r="J131" t="str">
        <f t="shared" ref="J131:J194" si="2">CONCATENATE(H131," ",I131)</f>
        <v>Jane Jones</v>
      </c>
      <c r="K131" t="s">
        <v>24</v>
      </c>
      <c r="L131" s="1">
        <v>33359</v>
      </c>
      <c r="M131" s="3">
        <v>35</v>
      </c>
      <c r="N131">
        <v>6158428240</v>
      </c>
      <c r="O131" t="s">
        <v>51</v>
      </c>
      <c r="P131" s="1">
        <v>44830</v>
      </c>
      <c r="Q131" t="s">
        <v>16</v>
      </c>
      <c r="R131" t="s">
        <v>253</v>
      </c>
      <c r="S131" t="s">
        <v>254</v>
      </c>
      <c r="T131" s="1" t="str" cm="1">
        <f t="array" ref="T131">_xlfn.IFS(Table1[[#This Row],[age]]&lt;=17,"CHILD",Table1[[#This Row],[age]]&lt;=35,"YOUNG ADULT",Table1[[#This Row],[age]]&lt;=55,"MIDDLE AGE",Table1[[#This Row],[age]]&gt;=56,"SENIOR")</f>
        <v>YOUNG ADULT</v>
      </c>
    </row>
    <row r="132" spans="1:20" x14ac:dyDescent="0.3">
      <c r="A132" t="s">
        <v>314</v>
      </c>
      <c r="B132" t="s">
        <v>133</v>
      </c>
      <c r="C132" t="s">
        <v>48</v>
      </c>
      <c r="D132" s="1">
        <v>45057</v>
      </c>
      <c r="E132" s="2">
        <v>0.6875</v>
      </c>
      <c r="F132" t="s">
        <v>10</v>
      </c>
      <c r="G132" t="s">
        <v>22</v>
      </c>
      <c r="H132" t="s">
        <v>63</v>
      </c>
      <c r="I132" t="s">
        <v>23</v>
      </c>
      <c r="J132" t="str">
        <f t="shared" si="2"/>
        <v>David Moore</v>
      </c>
      <c r="K132" t="s">
        <v>24</v>
      </c>
      <c r="L132" s="1">
        <v>26629</v>
      </c>
      <c r="M132" s="3">
        <v>53</v>
      </c>
      <c r="N132">
        <v>7712937941</v>
      </c>
      <c r="O132" t="s">
        <v>15</v>
      </c>
      <c r="P132" s="1">
        <v>45091</v>
      </c>
      <c r="Q132" t="s">
        <v>26</v>
      </c>
      <c r="R132" t="s">
        <v>134</v>
      </c>
      <c r="S132" t="s">
        <v>135</v>
      </c>
      <c r="T132" s="1" t="str" cm="1">
        <f t="array" ref="T132">_xlfn.IFS(Table1[[#This Row],[age]]&lt;=17,"CHILD",Table1[[#This Row],[age]]&lt;=35,"YOUNG ADULT",Table1[[#This Row],[age]]&lt;=55,"MIDDLE AGE",Table1[[#This Row],[age]]&gt;=56,"SENIOR")</f>
        <v>MIDDLE AGE</v>
      </c>
    </row>
    <row r="133" spans="1:20" x14ac:dyDescent="0.3">
      <c r="A133" t="s">
        <v>315</v>
      </c>
      <c r="B133" t="s">
        <v>210</v>
      </c>
      <c r="C133" t="s">
        <v>97</v>
      </c>
      <c r="D133" s="1">
        <v>45133</v>
      </c>
      <c r="E133" s="2">
        <v>0.44791666666666669</v>
      </c>
      <c r="F133" t="s">
        <v>56</v>
      </c>
      <c r="G133" t="s">
        <v>32</v>
      </c>
      <c r="H133" t="s">
        <v>77</v>
      </c>
      <c r="I133" t="s">
        <v>23</v>
      </c>
      <c r="J133" t="str">
        <f t="shared" si="2"/>
        <v>Jane Moore</v>
      </c>
      <c r="K133" t="s">
        <v>14</v>
      </c>
      <c r="L133" s="1">
        <v>37778</v>
      </c>
      <c r="M133" s="3">
        <v>23</v>
      </c>
      <c r="N133">
        <v>8158989953</v>
      </c>
      <c r="O133" t="s">
        <v>64</v>
      </c>
      <c r="P133" s="1">
        <v>44654</v>
      </c>
      <c r="Q133" t="s">
        <v>26</v>
      </c>
      <c r="R133" t="s">
        <v>211</v>
      </c>
      <c r="S133" t="s">
        <v>131</v>
      </c>
      <c r="T133" s="1" t="str" cm="1">
        <f t="array" ref="T133">_xlfn.IFS(Table1[[#This Row],[age]]&lt;=17,"CHILD",Table1[[#This Row],[age]]&lt;=35,"YOUNG ADULT",Table1[[#This Row],[age]]&lt;=55,"MIDDLE AGE",Table1[[#This Row],[age]]&gt;=56,"SENIOR")</f>
        <v>YOUNG ADULT</v>
      </c>
    </row>
    <row r="134" spans="1:20" x14ac:dyDescent="0.3">
      <c r="A134" t="s">
        <v>316</v>
      </c>
      <c r="B134" t="s">
        <v>30</v>
      </c>
      <c r="C134" t="s">
        <v>119</v>
      </c>
      <c r="D134" s="1">
        <v>45008</v>
      </c>
      <c r="E134" s="2">
        <v>0.60416666666666663</v>
      </c>
      <c r="F134" t="s">
        <v>56</v>
      </c>
      <c r="G134" t="s">
        <v>82</v>
      </c>
      <c r="H134" t="s">
        <v>33</v>
      </c>
      <c r="I134" t="s">
        <v>34</v>
      </c>
      <c r="J134" t="str">
        <f t="shared" si="2"/>
        <v>Emily Miller</v>
      </c>
      <c r="K134" t="s">
        <v>24</v>
      </c>
      <c r="L134" s="1">
        <v>30399</v>
      </c>
      <c r="M134" s="3">
        <v>43</v>
      </c>
      <c r="N134">
        <v>8720989381</v>
      </c>
      <c r="O134" t="s">
        <v>25</v>
      </c>
      <c r="P134" s="1">
        <v>45096</v>
      </c>
      <c r="Q134" t="s">
        <v>35</v>
      </c>
      <c r="R134" t="s">
        <v>36</v>
      </c>
      <c r="S134" t="s">
        <v>37</v>
      </c>
      <c r="T134" s="1" t="str" cm="1">
        <f t="array" ref="T134">_xlfn.IFS(Table1[[#This Row],[age]]&lt;=17,"CHILD",Table1[[#This Row],[age]]&lt;=35,"YOUNG ADULT",Table1[[#This Row],[age]]&lt;=55,"MIDDLE AGE",Table1[[#This Row],[age]]&gt;=56,"SENIOR")</f>
        <v>MIDDLE AGE</v>
      </c>
    </row>
    <row r="135" spans="1:20" x14ac:dyDescent="0.3">
      <c r="A135" t="s">
        <v>317</v>
      </c>
      <c r="B135" t="s">
        <v>39</v>
      </c>
      <c r="C135" t="s">
        <v>40</v>
      </c>
      <c r="D135" s="1">
        <v>45216</v>
      </c>
      <c r="E135" s="2">
        <v>0.63541666666666663</v>
      </c>
      <c r="F135" t="s">
        <v>31</v>
      </c>
      <c r="G135" t="s">
        <v>11</v>
      </c>
      <c r="H135" t="s">
        <v>41</v>
      </c>
      <c r="I135" t="s">
        <v>42</v>
      </c>
      <c r="J135" t="str">
        <f t="shared" si="2"/>
        <v>Robert Wilson</v>
      </c>
      <c r="K135" t="s">
        <v>24</v>
      </c>
      <c r="L135" s="1">
        <v>24333</v>
      </c>
      <c r="M135" s="3">
        <v>60</v>
      </c>
      <c r="N135">
        <v>7482069727</v>
      </c>
      <c r="O135" t="s">
        <v>25</v>
      </c>
      <c r="P135" s="1">
        <v>44448</v>
      </c>
      <c r="Q135" t="s">
        <v>43</v>
      </c>
      <c r="R135" t="s">
        <v>44</v>
      </c>
      <c r="S135" t="s">
        <v>45</v>
      </c>
      <c r="T135" s="1" t="str" cm="1">
        <f t="array" ref="T135">_xlfn.IFS(Table1[[#This Row],[age]]&lt;=17,"CHILD",Table1[[#This Row],[age]]&lt;=35,"YOUNG ADULT",Table1[[#This Row],[age]]&lt;=55,"MIDDLE AGE",Table1[[#This Row],[age]]&gt;=56,"SENIOR")</f>
        <v>SENIOR</v>
      </c>
    </row>
    <row r="136" spans="1:20" x14ac:dyDescent="0.3">
      <c r="A136" t="s">
        <v>318</v>
      </c>
      <c r="B136" t="s">
        <v>86</v>
      </c>
      <c r="C136" t="s">
        <v>144</v>
      </c>
      <c r="D136" s="1">
        <v>45178</v>
      </c>
      <c r="E136" s="2">
        <v>0.6875</v>
      </c>
      <c r="F136" t="s">
        <v>10</v>
      </c>
      <c r="G136" t="s">
        <v>11</v>
      </c>
      <c r="H136" t="s">
        <v>87</v>
      </c>
      <c r="I136" t="s">
        <v>88</v>
      </c>
      <c r="J136" t="str">
        <f t="shared" si="2"/>
        <v>John Brown</v>
      </c>
      <c r="K136" t="s">
        <v>24</v>
      </c>
      <c r="L136" s="1">
        <v>20219</v>
      </c>
      <c r="M136" s="3">
        <v>71</v>
      </c>
      <c r="N136">
        <v>6221099573</v>
      </c>
      <c r="O136" t="s">
        <v>15</v>
      </c>
      <c r="P136" s="1">
        <v>44327</v>
      </c>
      <c r="Q136" t="s">
        <v>26</v>
      </c>
      <c r="R136" t="s">
        <v>89</v>
      </c>
      <c r="S136" t="s">
        <v>90</v>
      </c>
      <c r="T136" s="1" t="str" cm="1">
        <f t="array" ref="T136">_xlfn.IFS(Table1[[#This Row],[age]]&lt;=17,"CHILD",Table1[[#This Row],[age]]&lt;=35,"YOUNG ADULT",Table1[[#This Row],[age]]&lt;=55,"MIDDLE AGE",Table1[[#This Row],[age]]&gt;=56,"SENIOR")</f>
        <v>SENIOR</v>
      </c>
    </row>
    <row r="137" spans="1:20" x14ac:dyDescent="0.3">
      <c r="A137" t="s">
        <v>319</v>
      </c>
      <c r="B137" t="s">
        <v>241</v>
      </c>
      <c r="C137" t="s">
        <v>9</v>
      </c>
      <c r="D137" s="1">
        <v>45059</v>
      </c>
      <c r="E137" s="2">
        <v>0.52083333333333337</v>
      </c>
      <c r="F137" t="s">
        <v>76</v>
      </c>
      <c r="G137" t="s">
        <v>82</v>
      </c>
      <c r="H137" t="s">
        <v>98</v>
      </c>
      <c r="I137" t="s">
        <v>165</v>
      </c>
      <c r="J137" t="str">
        <f t="shared" si="2"/>
        <v>Laura Johnson</v>
      </c>
      <c r="K137" t="s">
        <v>14</v>
      </c>
      <c r="L137" s="1">
        <v>32960</v>
      </c>
      <c r="M137" s="3">
        <v>36</v>
      </c>
      <c r="N137">
        <v>9059178882</v>
      </c>
      <c r="O137" t="s">
        <v>15</v>
      </c>
      <c r="P137" s="1">
        <v>44553</v>
      </c>
      <c r="Q137" t="s">
        <v>16</v>
      </c>
      <c r="R137" t="s">
        <v>242</v>
      </c>
      <c r="S137" t="s">
        <v>243</v>
      </c>
      <c r="T137" s="1" t="str" cm="1">
        <f t="array" ref="T137">_xlfn.IFS(Table1[[#This Row],[age]]&lt;=17,"CHILD",Table1[[#This Row],[age]]&lt;=35,"YOUNG ADULT",Table1[[#This Row],[age]]&lt;=55,"MIDDLE AGE",Table1[[#This Row],[age]]&gt;=56,"SENIOR")</f>
        <v>MIDDLE AGE</v>
      </c>
    </row>
    <row r="138" spans="1:20" x14ac:dyDescent="0.3">
      <c r="A138" t="s">
        <v>320</v>
      </c>
      <c r="B138" t="s">
        <v>180</v>
      </c>
      <c r="C138" t="s">
        <v>119</v>
      </c>
      <c r="D138" s="1">
        <v>45224</v>
      </c>
      <c r="E138" s="2">
        <v>0.41666666666666669</v>
      </c>
      <c r="F138" t="s">
        <v>49</v>
      </c>
      <c r="G138" t="s">
        <v>22</v>
      </c>
      <c r="H138" t="s">
        <v>181</v>
      </c>
      <c r="I138" t="s">
        <v>34</v>
      </c>
      <c r="J138" t="str">
        <f t="shared" si="2"/>
        <v>Sarah Miller</v>
      </c>
      <c r="K138" t="s">
        <v>24</v>
      </c>
      <c r="L138" s="1">
        <v>27538</v>
      </c>
      <c r="M138" s="3">
        <v>51</v>
      </c>
      <c r="N138">
        <v>8618058864</v>
      </c>
      <c r="O138" t="s">
        <v>64</v>
      </c>
      <c r="P138" s="1">
        <v>45101</v>
      </c>
      <c r="Q138" t="s">
        <v>16</v>
      </c>
      <c r="R138" t="s">
        <v>182</v>
      </c>
      <c r="S138" t="s">
        <v>183</v>
      </c>
      <c r="T138" s="1" t="str" cm="1">
        <f t="array" ref="T138">_xlfn.IFS(Table1[[#This Row],[age]]&lt;=17,"CHILD",Table1[[#This Row],[age]]&lt;=35,"YOUNG ADULT",Table1[[#This Row],[age]]&lt;=55,"MIDDLE AGE",Table1[[#This Row],[age]]&gt;=56,"SENIOR")</f>
        <v>MIDDLE AGE</v>
      </c>
    </row>
    <row r="139" spans="1:20" x14ac:dyDescent="0.3">
      <c r="A139" t="s">
        <v>321</v>
      </c>
      <c r="B139" t="s">
        <v>133</v>
      </c>
      <c r="C139" t="s">
        <v>62</v>
      </c>
      <c r="D139" s="1">
        <v>45286</v>
      </c>
      <c r="E139" s="2">
        <v>0.63541666666666663</v>
      </c>
      <c r="F139" t="s">
        <v>76</v>
      </c>
      <c r="G139" t="s">
        <v>22</v>
      </c>
      <c r="H139" t="s">
        <v>63</v>
      </c>
      <c r="I139" t="s">
        <v>23</v>
      </c>
      <c r="J139" t="str">
        <f t="shared" si="2"/>
        <v>David Moore</v>
      </c>
      <c r="K139" t="s">
        <v>24</v>
      </c>
      <c r="L139" s="1">
        <v>26629</v>
      </c>
      <c r="M139" s="3">
        <v>53</v>
      </c>
      <c r="N139">
        <v>7712937941</v>
      </c>
      <c r="O139" t="s">
        <v>15</v>
      </c>
      <c r="P139" s="1">
        <v>45091</v>
      </c>
      <c r="Q139" t="s">
        <v>26</v>
      </c>
      <c r="R139" t="s">
        <v>134</v>
      </c>
      <c r="S139" t="s">
        <v>135</v>
      </c>
      <c r="T139" s="1" t="str" cm="1">
        <f t="array" ref="T139">_xlfn.IFS(Table1[[#This Row],[age]]&lt;=17,"CHILD",Table1[[#This Row],[age]]&lt;=35,"YOUNG ADULT",Table1[[#This Row],[age]]&lt;=55,"MIDDLE AGE",Table1[[#This Row],[age]]&gt;=56,"SENIOR")</f>
        <v>MIDDLE AGE</v>
      </c>
    </row>
    <row r="140" spans="1:20" x14ac:dyDescent="0.3">
      <c r="A140" t="s">
        <v>322</v>
      </c>
      <c r="B140" t="s">
        <v>156</v>
      </c>
      <c r="C140" t="s">
        <v>144</v>
      </c>
      <c r="D140" s="1">
        <v>45209</v>
      </c>
      <c r="E140" s="2">
        <v>0.44791666666666669</v>
      </c>
      <c r="F140" t="s">
        <v>10</v>
      </c>
      <c r="G140" t="s">
        <v>22</v>
      </c>
      <c r="H140" t="s">
        <v>70</v>
      </c>
      <c r="I140" t="s">
        <v>42</v>
      </c>
      <c r="J140" t="str">
        <f t="shared" si="2"/>
        <v>Michael Wilson</v>
      </c>
      <c r="K140" t="s">
        <v>24</v>
      </c>
      <c r="L140" s="1">
        <v>35790</v>
      </c>
      <c r="M140" s="3">
        <v>28</v>
      </c>
      <c r="N140">
        <v>8545613046</v>
      </c>
      <c r="O140" t="s">
        <v>25</v>
      </c>
      <c r="P140" s="1">
        <v>44838</v>
      </c>
      <c r="Q140" t="s">
        <v>26</v>
      </c>
      <c r="R140" t="s">
        <v>157</v>
      </c>
      <c r="S140" t="s">
        <v>153</v>
      </c>
      <c r="T140" s="1" t="str" cm="1">
        <f t="array" ref="T140">_xlfn.IFS(Table1[[#This Row],[age]]&lt;=17,"CHILD",Table1[[#This Row],[age]]&lt;=35,"YOUNG ADULT",Table1[[#This Row],[age]]&lt;=55,"MIDDLE AGE",Table1[[#This Row],[age]]&gt;=56,"SENIOR")</f>
        <v>YOUNG ADULT</v>
      </c>
    </row>
    <row r="141" spans="1:20" x14ac:dyDescent="0.3">
      <c r="A141" t="s">
        <v>323</v>
      </c>
      <c r="B141" t="s">
        <v>103</v>
      </c>
      <c r="C141" t="s">
        <v>144</v>
      </c>
      <c r="D141" s="1">
        <v>44962</v>
      </c>
      <c r="E141" s="2">
        <v>0.63541666666666663</v>
      </c>
      <c r="F141" t="s">
        <v>56</v>
      </c>
      <c r="G141" t="s">
        <v>22</v>
      </c>
      <c r="H141" t="s">
        <v>98</v>
      </c>
      <c r="I141" t="s">
        <v>104</v>
      </c>
      <c r="J141" t="str">
        <f t="shared" si="2"/>
        <v>Laura Davis</v>
      </c>
      <c r="K141" t="s">
        <v>14</v>
      </c>
      <c r="L141" s="1">
        <v>33580</v>
      </c>
      <c r="M141" s="3">
        <v>34</v>
      </c>
      <c r="N141">
        <v>8135666049</v>
      </c>
      <c r="O141" t="s">
        <v>15</v>
      </c>
      <c r="P141" s="1">
        <v>45043</v>
      </c>
      <c r="Q141" t="s">
        <v>26</v>
      </c>
      <c r="R141" t="s">
        <v>105</v>
      </c>
      <c r="S141" t="s">
        <v>106</v>
      </c>
      <c r="T141" s="1" t="str" cm="1">
        <f t="array" ref="T141">_xlfn.IFS(Table1[[#This Row],[age]]&lt;=17,"CHILD",Table1[[#This Row],[age]]&lt;=35,"YOUNG ADULT",Table1[[#This Row],[age]]&lt;=55,"MIDDLE AGE",Table1[[#This Row],[age]]&gt;=56,"SENIOR")</f>
        <v>YOUNG ADULT</v>
      </c>
    </row>
    <row r="142" spans="1:20" x14ac:dyDescent="0.3">
      <c r="A142" t="s">
        <v>324</v>
      </c>
      <c r="B142" t="s">
        <v>266</v>
      </c>
      <c r="C142" t="s">
        <v>97</v>
      </c>
      <c r="D142" s="1">
        <v>45092</v>
      </c>
      <c r="E142" s="2">
        <v>0.63541666666666663</v>
      </c>
      <c r="F142" t="s">
        <v>56</v>
      </c>
      <c r="G142" t="s">
        <v>82</v>
      </c>
      <c r="H142" t="s">
        <v>41</v>
      </c>
      <c r="I142" t="s">
        <v>50</v>
      </c>
      <c r="J142" t="str">
        <f t="shared" si="2"/>
        <v>Robert Williams</v>
      </c>
      <c r="K142" t="s">
        <v>24</v>
      </c>
      <c r="L142" s="1">
        <v>18798</v>
      </c>
      <c r="M142" s="3">
        <v>75</v>
      </c>
      <c r="N142">
        <v>7020645498</v>
      </c>
      <c r="O142" t="s">
        <v>51</v>
      </c>
      <c r="P142" s="1">
        <v>44758</v>
      </c>
      <c r="Q142" t="s">
        <v>16</v>
      </c>
      <c r="R142" t="s">
        <v>267</v>
      </c>
      <c r="S142" t="s">
        <v>116</v>
      </c>
      <c r="T142" s="1" t="str" cm="1">
        <f t="array" ref="T142">_xlfn.IFS(Table1[[#This Row],[age]]&lt;=17,"CHILD",Table1[[#This Row],[age]]&lt;=35,"YOUNG ADULT",Table1[[#This Row],[age]]&lt;=55,"MIDDLE AGE",Table1[[#This Row],[age]]&gt;=56,"SENIOR")</f>
        <v>SENIOR</v>
      </c>
    </row>
    <row r="143" spans="1:20" x14ac:dyDescent="0.3">
      <c r="A143" t="s">
        <v>325</v>
      </c>
      <c r="B143" t="s">
        <v>180</v>
      </c>
      <c r="C143" t="s">
        <v>48</v>
      </c>
      <c r="D143" s="1">
        <v>45231</v>
      </c>
      <c r="E143" s="2">
        <v>0.48958333333333331</v>
      </c>
      <c r="F143" t="s">
        <v>10</v>
      </c>
      <c r="G143" t="s">
        <v>22</v>
      </c>
      <c r="H143" t="s">
        <v>181</v>
      </c>
      <c r="I143" t="s">
        <v>34</v>
      </c>
      <c r="J143" t="str">
        <f t="shared" si="2"/>
        <v>Sarah Miller</v>
      </c>
      <c r="K143" t="s">
        <v>24</v>
      </c>
      <c r="L143" s="1">
        <v>27538</v>
      </c>
      <c r="M143" s="3">
        <v>51</v>
      </c>
      <c r="N143">
        <v>8618058864</v>
      </c>
      <c r="O143" t="s">
        <v>64</v>
      </c>
      <c r="P143" s="1">
        <v>45101</v>
      </c>
      <c r="Q143" t="s">
        <v>16</v>
      </c>
      <c r="R143" t="s">
        <v>182</v>
      </c>
      <c r="S143" t="s">
        <v>183</v>
      </c>
      <c r="T143" s="1" t="str" cm="1">
        <f t="array" ref="T143">_xlfn.IFS(Table1[[#This Row],[age]]&lt;=17,"CHILD",Table1[[#This Row],[age]]&lt;=35,"YOUNG ADULT",Table1[[#This Row],[age]]&lt;=55,"MIDDLE AGE",Table1[[#This Row],[age]]&gt;=56,"SENIOR")</f>
        <v>MIDDLE AGE</v>
      </c>
    </row>
    <row r="144" spans="1:20" x14ac:dyDescent="0.3">
      <c r="A144" t="s">
        <v>326</v>
      </c>
      <c r="B144" t="s">
        <v>103</v>
      </c>
      <c r="C144" t="s">
        <v>62</v>
      </c>
      <c r="D144" s="1">
        <v>45190</v>
      </c>
      <c r="E144" s="2">
        <v>0.51041666666666663</v>
      </c>
      <c r="F144" t="s">
        <v>56</v>
      </c>
      <c r="G144" t="s">
        <v>32</v>
      </c>
      <c r="H144" t="s">
        <v>98</v>
      </c>
      <c r="I144" t="s">
        <v>104</v>
      </c>
      <c r="J144" t="str">
        <f t="shared" si="2"/>
        <v>Laura Davis</v>
      </c>
      <c r="K144" t="s">
        <v>14</v>
      </c>
      <c r="L144" s="1">
        <v>33580</v>
      </c>
      <c r="M144" s="3">
        <v>34</v>
      </c>
      <c r="N144">
        <v>8135666049</v>
      </c>
      <c r="O144" t="s">
        <v>15</v>
      </c>
      <c r="P144" s="1">
        <v>45043</v>
      </c>
      <c r="Q144" t="s">
        <v>26</v>
      </c>
      <c r="R144" t="s">
        <v>105</v>
      </c>
      <c r="S144" t="s">
        <v>106</v>
      </c>
      <c r="T144" s="1" t="str" cm="1">
        <f t="array" ref="T144">_xlfn.IFS(Table1[[#This Row],[age]]&lt;=17,"CHILD",Table1[[#This Row],[age]]&lt;=35,"YOUNG ADULT",Table1[[#This Row],[age]]&lt;=55,"MIDDLE AGE",Table1[[#This Row],[age]]&gt;=56,"SENIOR")</f>
        <v>YOUNG ADULT</v>
      </c>
    </row>
    <row r="145" spans="1:20" x14ac:dyDescent="0.3">
      <c r="A145" t="s">
        <v>327</v>
      </c>
      <c r="B145" t="s">
        <v>287</v>
      </c>
      <c r="C145" t="s">
        <v>40</v>
      </c>
      <c r="D145" s="1">
        <v>45154</v>
      </c>
      <c r="E145" s="2">
        <v>0.51041666666666663</v>
      </c>
      <c r="F145" t="s">
        <v>56</v>
      </c>
      <c r="G145" t="s">
        <v>22</v>
      </c>
      <c r="H145" t="s">
        <v>98</v>
      </c>
      <c r="I145" t="s">
        <v>104</v>
      </c>
      <c r="J145" t="str">
        <f t="shared" si="2"/>
        <v>Laura Davis</v>
      </c>
      <c r="K145" t="s">
        <v>24</v>
      </c>
      <c r="L145" s="1">
        <v>26278</v>
      </c>
      <c r="M145" s="3">
        <v>54</v>
      </c>
      <c r="N145">
        <v>7060324619</v>
      </c>
      <c r="O145" t="s">
        <v>15</v>
      </c>
      <c r="P145" s="1">
        <v>44822</v>
      </c>
      <c r="Q145" t="s">
        <v>35</v>
      </c>
      <c r="R145" t="s">
        <v>288</v>
      </c>
      <c r="S145" t="s">
        <v>106</v>
      </c>
      <c r="T145" s="1" t="str" cm="1">
        <f t="array" ref="T145">_xlfn.IFS(Table1[[#This Row],[age]]&lt;=17,"CHILD",Table1[[#This Row],[age]]&lt;=35,"YOUNG ADULT",Table1[[#This Row],[age]]&lt;=55,"MIDDLE AGE",Table1[[#This Row],[age]]&gt;=56,"SENIOR")</f>
        <v>MIDDLE AGE</v>
      </c>
    </row>
    <row r="146" spans="1:20" x14ac:dyDescent="0.3">
      <c r="A146" t="s">
        <v>328</v>
      </c>
      <c r="B146" t="s">
        <v>269</v>
      </c>
      <c r="C146" t="s">
        <v>97</v>
      </c>
      <c r="D146" s="1">
        <v>45241</v>
      </c>
      <c r="E146" s="2">
        <v>0.61458333333333337</v>
      </c>
      <c r="F146" t="s">
        <v>56</v>
      </c>
      <c r="G146" t="s">
        <v>11</v>
      </c>
      <c r="H146" t="s">
        <v>12</v>
      </c>
      <c r="I146" t="s">
        <v>165</v>
      </c>
      <c r="J146" t="str">
        <f t="shared" si="2"/>
        <v>Alex Johnson</v>
      </c>
      <c r="K146" t="s">
        <v>14</v>
      </c>
      <c r="L146" s="1">
        <v>32667</v>
      </c>
      <c r="M146" s="3">
        <v>37</v>
      </c>
      <c r="N146">
        <v>6278710077</v>
      </c>
      <c r="O146" t="s">
        <v>64</v>
      </c>
      <c r="P146" s="1">
        <v>44555</v>
      </c>
      <c r="Q146" t="s">
        <v>26</v>
      </c>
      <c r="R146" t="s">
        <v>270</v>
      </c>
      <c r="S146" t="s">
        <v>271</v>
      </c>
      <c r="T146" s="1" t="str" cm="1">
        <f t="array" ref="T146">_xlfn.IFS(Table1[[#This Row],[age]]&lt;=17,"CHILD",Table1[[#This Row],[age]]&lt;=35,"YOUNG ADULT",Table1[[#This Row],[age]]&lt;=55,"MIDDLE AGE",Table1[[#This Row],[age]]&gt;=56,"SENIOR")</f>
        <v>MIDDLE AGE</v>
      </c>
    </row>
    <row r="147" spans="1:20" x14ac:dyDescent="0.3">
      <c r="A147" t="s">
        <v>329</v>
      </c>
      <c r="B147" t="s">
        <v>125</v>
      </c>
      <c r="C147" t="s">
        <v>40</v>
      </c>
      <c r="D147" s="1">
        <v>44931</v>
      </c>
      <c r="E147" s="2">
        <v>0.39583333333333331</v>
      </c>
      <c r="F147" t="s">
        <v>49</v>
      </c>
      <c r="G147" t="s">
        <v>22</v>
      </c>
      <c r="H147" t="s">
        <v>12</v>
      </c>
      <c r="I147" t="s">
        <v>23</v>
      </c>
      <c r="J147" t="str">
        <f t="shared" si="2"/>
        <v>Alex Moore</v>
      </c>
      <c r="K147" t="s">
        <v>24</v>
      </c>
      <c r="L147" s="1">
        <v>34072</v>
      </c>
      <c r="M147" s="3">
        <v>33</v>
      </c>
      <c r="N147">
        <v>7028910482</v>
      </c>
      <c r="O147" t="s">
        <v>15</v>
      </c>
      <c r="P147" s="1">
        <v>45066</v>
      </c>
      <c r="Q147" t="s">
        <v>26</v>
      </c>
      <c r="R147" t="s">
        <v>126</v>
      </c>
      <c r="S147" t="s">
        <v>28</v>
      </c>
      <c r="T147" s="1" t="str" cm="1">
        <f t="array" ref="T147">_xlfn.IFS(Table1[[#This Row],[age]]&lt;=17,"CHILD",Table1[[#This Row],[age]]&lt;=35,"YOUNG ADULT",Table1[[#This Row],[age]]&lt;=55,"MIDDLE AGE",Table1[[#This Row],[age]]&gt;=56,"SENIOR")</f>
        <v>YOUNG ADULT</v>
      </c>
    </row>
    <row r="148" spans="1:20" x14ac:dyDescent="0.3">
      <c r="A148" t="s">
        <v>330</v>
      </c>
      <c r="B148" t="s">
        <v>121</v>
      </c>
      <c r="C148" t="s">
        <v>97</v>
      </c>
      <c r="D148" s="1">
        <v>45243</v>
      </c>
      <c r="E148" s="2">
        <v>0.72916666666666663</v>
      </c>
      <c r="F148" t="s">
        <v>49</v>
      </c>
      <c r="G148" t="s">
        <v>82</v>
      </c>
      <c r="H148" t="s">
        <v>12</v>
      </c>
      <c r="I148" t="s">
        <v>71</v>
      </c>
      <c r="J148" t="str">
        <f t="shared" si="2"/>
        <v>Alex Taylor</v>
      </c>
      <c r="K148" t="s">
        <v>24</v>
      </c>
      <c r="L148" s="1">
        <v>24895</v>
      </c>
      <c r="M148" s="3">
        <v>58</v>
      </c>
      <c r="N148">
        <v>7292262512</v>
      </c>
      <c r="O148" t="s">
        <v>64</v>
      </c>
      <c r="P148" s="1">
        <v>45272</v>
      </c>
      <c r="Q148" t="s">
        <v>26</v>
      </c>
      <c r="R148" t="s">
        <v>122</v>
      </c>
      <c r="S148" t="s">
        <v>123</v>
      </c>
      <c r="T148" s="1" t="str" cm="1">
        <f t="array" ref="T148">_xlfn.IFS(Table1[[#This Row],[age]]&lt;=17,"CHILD",Table1[[#This Row],[age]]&lt;=35,"YOUNG ADULT",Table1[[#This Row],[age]]&lt;=55,"MIDDLE AGE",Table1[[#This Row],[age]]&gt;=56,"SENIOR")</f>
        <v>SENIOR</v>
      </c>
    </row>
    <row r="149" spans="1:20" x14ac:dyDescent="0.3">
      <c r="A149" t="s">
        <v>331</v>
      </c>
      <c r="B149" t="s">
        <v>175</v>
      </c>
      <c r="C149" t="s">
        <v>97</v>
      </c>
      <c r="D149" s="1">
        <v>45266</v>
      </c>
      <c r="E149" s="2">
        <v>0.35416666666666669</v>
      </c>
      <c r="F149" t="s">
        <v>31</v>
      </c>
      <c r="G149" t="s">
        <v>11</v>
      </c>
      <c r="H149" t="s">
        <v>41</v>
      </c>
      <c r="I149" t="s">
        <v>34</v>
      </c>
      <c r="J149" t="str">
        <f t="shared" si="2"/>
        <v>Robert Miller</v>
      </c>
      <c r="K149" t="s">
        <v>24</v>
      </c>
      <c r="L149" s="1">
        <v>31791</v>
      </c>
      <c r="M149" s="3">
        <v>39</v>
      </c>
      <c r="N149">
        <v>8280346676</v>
      </c>
      <c r="O149" t="s">
        <v>15</v>
      </c>
      <c r="P149" s="1">
        <v>44740</v>
      </c>
      <c r="Q149" t="s">
        <v>16</v>
      </c>
      <c r="R149" t="s">
        <v>176</v>
      </c>
      <c r="S149" t="s">
        <v>177</v>
      </c>
      <c r="T149" s="1" t="str" cm="1">
        <f t="array" ref="T149">_xlfn.IFS(Table1[[#This Row],[age]]&lt;=17,"CHILD",Table1[[#This Row],[age]]&lt;=35,"YOUNG ADULT",Table1[[#This Row],[age]]&lt;=55,"MIDDLE AGE",Table1[[#This Row],[age]]&gt;=56,"SENIOR")</f>
        <v>MIDDLE AGE</v>
      </c>
    </row>
    <row r="150" spans="1:20" x14ac:dyDescent="0.3">
      <c r="A150" t="s">
        <v>332</v>
      </c>
      <c r="B150" t="s">
        <v>180</v>
      </c>
      <c r="C150" t="s">
        <v>97</v>
      </c>
      <c r="D150" s="1">
        <v>45133</v>
      </c>
      <c r="E150" s="2">
        <v>0.52083333333333337</v>
      </c>
      <c r="F150" t="s">
        <v>76</v>
      </c>
      <c r="G150" t="s">
        <v>82</v>
      </c>
      <c r="H150" t="s">
        <v>181</v>
      </c>
      <c r="I150" t="s">
        <v>34</v>
      </c>
      <c r="J150" t="str">
        <f t="shared" si="2"/>
        <v>Sarah Miller</v>
      </c>
      <c r="K150" t="s">
        <v>24</v>
      </c>
      <c r="L150" s="1">
        <v>27538</v>
      </c>
      <c r="M150" s="3">
        <v>51</v>
      </c>
      <c r="N150">
        <v>8618058864</v>
      </c>
      <c r="O150" t="s">
        <v>64</v>
      </c>
      <c r="P150" s="1">
        <v>45101</v>
      </c>
      <c r="Q150" t="s">
        <v>16</v>
      </c>
      <c r="R150" t="s">
        <v>182</v>
      </c>
      <c r="S150" t="s">
        <v>183</v>
      </c>
      <c r="T150" s="1" t="str" cm="1">
        <f t="array" ref="T150">_xlfn.IFS(Table1[[#This Row],[age]]&lt;=17,"CHILD",Table1[[#This Row],[age]]&lt;=35,"YOUNG ADULT",Table1[[#This Row],[age]]&lt;=55,"MIDDLE AGE",Table1[[#This Row],[age]]&gt;=56,"SENIOR")</f>
        <v>MIDDLE AGE</v>
      </c>
    </row>
    <row r="151" spans="1:20" x14ac:dyDescent="0.3">
      <c r="A151" t="s">
        <v>333</v>
      </c>
      <c r="B151" t="s">
        <v>129</v>
      </c>
      <c r="C151" t="s">
        <v>48</v>
      </c>
      <c r="D151" s="1">
        <v>45154</v>
      </c>
      <c r="E151" s="2">
        <v>0.44791666666666669</v>
      </c>
      <c r="F151" t="s">
        <v>10</v>
      </c>
      <c r="G151" t="s">
        <v>82</v>
      </c>
      <c r="H151" t="s">
        <v>77</v>
      </c>
      <c r="I151" t="s">
        <v>23</v>
      </c>
      <c r="J151" t="str">
        <f t="shared" si="2"/>
        <v>Jane Moore</v>
      </c>
      <c r="K151" t="s">
        <v>24</v>
      </c>
      <c r="L151" s="1">
        <v>35046</v>
      </c>
      <c r="M151" s="3">
        <v>30</v>
      </c>
      <c r="N151">
        <v>8715732851</v>
      </c>
      <c r="O151" t="s">
        <v>15</v>
      </c>
      <c r="P151" s="1">
        <v>44701</v>
      </c>
      <c r="Q151" t="s">
        <v>16</v>
      </c>
      <c r="R151" t="s">
        <v>130</v>
      </c>
      <c r="S151" t="s">
        <v>131</v>
      </c>
      <c r="T151" s="1" t="str" cm="1">
        <f t="array" ref="T151">_xlfn.IFS(Table1[[#This Row],[age]]&lt;=17,"CHILD",Table1[[#This Row],[age]]&lt;=35,"YOUNG ADULT",Table1[[#This Row],[age]]&lt;=55,"MIDDLE AGE",Table1[[#This Row],[age]]&gt;=56,"SENIOR")</f>
        <v>YOUNG ADULT</v>
      </c>
    </row>
    <row r="152" spans="1:20" x14ac:dyDescent="0.3">
      <c r="A152" t="s">
        <v>334</v>
      </c>
      <c r="B152" t="s">
        <v>68</v>
      </c>
      <c r="C152" t="s">
        <v>97</v>
      </c>
      <c r="D152" s="1">
        <v>44954</v>
      </c>
      <c r="E152" s="2">
        <v>0.38541666666666669</v>
      </c>
      <c r="F152" t="s">
        <v>10</v>
      </c>
      <c r="G152" t="s">
        <v>11</v>
      </c>
      <c r="H152" t="s">
        <v>70</v>
      </c>
      <c r="I152" t="s">
        <v>71</v>
      </c>
      <c r="J152" t="str">
        <f t="shared" si="2"/>
        <v>Michael Taylor</v>
      </c>
      <c r="K152" t="s">
        <v>24</v>
      </c>
      <c r="L152" s="1">
        <v>36729</v>
      </c>
      <c r="M152" s="3">
        <v>26</v>
      </c>
      <c r="N152">
        <v>7223380592</v>
      </c>
      <c r="O152" t="s">
        <v>64</v>
      </c>
      <c r="P152" s="1">
        <v>44400</v>
      </c>
      <c r="Q152" t="s">
        <v>35</v>
      </c>
      <c r="R152" t="s">
        <v>72</v>
      </c>
      <c r="S152" t="s">
        <v>73</v>
      </c>
      <c r="T152" s="1" t="str" cm="1">
        <f t="array" ref="T152">_xlfn.IFS(Table1[[#This Row],[age]]&lt;=17,"CHILD",Table1[[#This Row],[age]]&lt;=35,"YOUNG ADULT",Table1[[#This Row],[age]]&lt;=55,"MIDDLE AGE",Table1[[#This Row],[age]]&gt;=56,"SENIOR")</f>
        <v>YOUNG ADULT</v>
      </c>
    </row>
    <row r="153" spans="1:20" x14ac:dyDescent="0.3">
      <c r="A153" t="s">
        <v>335</v>
      </c>
      <c r="B153" t="s">
        <v>81</v>
      </c>
      <c r="C153" t="s">
        <v>21</v>
      </c>
      <c r="D153" s="1">
        <v>45030</v>
      </c>
      <c r="E153" s="2">
        <v>0.35416666666666669</v>
      </c>
      <c r="F153" t="s">
        <v>10</v>
      </c>
      <c r="G153" t="s">
        <v>82</v>
      </c>
      <c r="H153" t="s">
        <v>63</v>
      </c>
      <c r="I153" t="s">
        <v>42</v>
      </c>
      <c r="J153" t="str">
        <f t="shared" si="2"/>
        <v>David Wilson</v>
      </c>
      <c r="K153" t="s">
        <v>24</v>
      </c>
      <c r="L153" s="1">
        <v>22090</v>
      </c>
      <c r="M153" s="3">
        <v>66</v>
      </c>
      <c r="N153">
        <v>7734463155</v>
      </c>
      <c r="O153" t="s">
        <v>25</v>
      </c>
      <c r="P153" s="1">
        <v>44468</v>
      </c>
      <c r="Q153" t="s">
        <v>26</v>
      </c>
      <c r="R153" t="s">
        <v>83</v>
      </c>
      <c r="S153" t="s">
        <v>84</v>
      </c>
      <c r="T153" s="1" t="str" cm="1">
        <f t="array" ref="T153">_xlfn.IFS(Table1[[#This Row],[age]]&lt;=17,"CHILD",Table1[[#This Row],[age]]&lt;=35,"YOUNG ADULT",Table1[[#This Row],[age]]&lt;=55,"MIDDLE AGE",Table1[[#This Row],[age]]&gt;=56,"SENIOR")</f>
        <v>SENIOR</v>
      </c>
    </row>
    <row r="154" spans="1:20" x14ac:dyDescent="0.3">
      <c r="A154" t="s">
        <v>336</v>
      </c>
      <c r="B154" t="s">
        <v>219</v>
      </c>
      <c r="C154" t="s">
        <v>9</v>
      </c>
      <c r="D154" s="1">
        <v>45115</v>
      </c>
      <c r="E154" s="2">
        <v>0.53125</v>
      </c>
      <c r="F154" t="s">
        <v>31</v>
      </c>
      <c r="G154" t="s">
        <v>82</v>
      </c>
      <c r="H154" t="s">
        <v>63</v>
      </c>
      <c r="I154" t="s">
        <v>42</v>
      </c>
      <c r="J154" t="str">
        <f t="shared" si="2"/>
        <v>David Wilson</v>
      </c>
      <c r="K154" t="s">
        <v>14</v>
      </c>
      <c r="L154" s="1">
        <v>34072</v>
      </c>
      <c r="M154" s="3">
        <v>33</v>
      </c>
      <c r="N154">
        <v>7039619487</v>
      </c>
      <c r="O154" t="s">
        <v>25</v>
      </c>
      <c r="P154" s="1">
        <v>45116</v>
      </c>
      <c r="Q154" t="s">
        <v>26</v>
      </c>
      <c r="R154" t="s">
        <v>220</v>
      </c>
      <c r="S154" t="s">
        <v>84</v>
      </c>
      <c r="T154" s="1" t="str" cm="1">
        <f t="array" ref="T154">_xlfn.IFS(Table1[[#This Row],[age]]&lt;=17,"CHILD",Table1[[#This Row],[age]]&lt;=35,"YOUNG ADULT",Table1[[#This Row],[age]]&lt;=55,"MIDDLE AGE",Table1[[#This Row],[age]]&gt;=56,"SENIOR")</f>
        <v>YOUNG ADULT</v>
      </c>
    </row>
    <row r="155" spans="1:20" x14ac:dyDescent="0.3">
      <c r="A155" t="s">
        <v>337</v>
      </c>
      <c r="B155" t="s">
        <v>103</v>
      </c>
      <c r="C155" t="s">
        <v>40</v>
      </c>
      <c r="D155" s="1">
        <v>44991</v>
      </c>
      <c r="E155" s="2">
        <v>0.72916666666666663</v>
      </c>
      <c r="F155" t="s">
        <v>49</v>
      </c>
      <c r="G155" t="s">
        <v>22</v>
      </c>
      <c r="H155" t="s">
        <v>98</v>
      </c>
      <c r="I155" t="s">
        <v>104</v>
      </c>
      <c r="J155" t="str">
        <f t="shared" si="2"/>
        <v>Laura Davis</v>
      </c>
      <c r="K155" t="s">
        <v>14</v>
      </c>
      <c r="L155" s="1">
        <v>33580</v>
      </c>
      <c r="M155" s="3">
        <v>34</v>
      </c>
      <c r="N155">
        <v>8135666049</v>
      </c>
      <c r="O155" t="s">
        <v>15</v>
      </c>
      <c r="P155" s="1">
        <v>45043</v>
      </c>
      <c r="Q155" t="s">
        <v>26</v>
      </c>
      <c r="R155" t="s">
        <v>105</v>
      </c>
      <c r="S155" t="s">
        <v>106</v>
      </c>
      <c r="T155" s="1" t="str" cm="1">
        <f t="array" ref="T155">_xlfn.IFS(Table1[[#This Row],[age]]&lt;=17,"CHILD",Table1[[#This Row],[age]]&lt;=35,"YOUNG ADULT",Table1[[#This Row],[age]]&lt;=55,"MIDDLE AGE",Table1[[#This Row],[age]]&gt;=56,"SENIOR")</f>
        <v>YOUNG ADULT</v>
      </c>
    </row>
    <row r="156" spans="1:20" x14ac:dyDescent="0.3">
      <c r="A156" t="s">
        <v>338</v>
      </c>
      <c r="B156" t="s">
        <v>39</v>
      </c>
      <c r="C156" t="s">
        <v>119</v>
      </c>
      <c r="D156" s="1">
        <v>44929</v>
      </c>
      <c r="E156" s="2">
        <v>0.39583333333333331</v>
      </c>
      <c r="F156" t="s">
        <v>31</v>
      </c>
      <c r="G156" t="s">
        <v>32</v>
      </c>
      <c r="H156" t="s">
        <v>41</v>
      </c>
      <c r="I156" t="s">
        <v>42</v>
      </c>
      <c r="J156" t="str">
        <f t="shared" si="2"/>
        <v>Robert Wilson</v>
      </c>
      <c r="K156" t="s">
        <v>24</v>
      </c>
      <c r="L156" s="1">
        <v>24333</v>
      </c>
      <c r="M156" s="3">
        <v>60</v>
      </c>
      <c r="N156">
        <v>7482069727</v>
      </c>
      <c r="O156" t="s">
        <v>25</v>
      </c>
      <c r="P156" s="1">
        <v>44448</v>
      </c>
      <c r="Q156" t="s">
        <v>43</v>
      </c>
      <c r="R156" t="s">
        <v>44</v>
      </c>
      <c r="S156" t="s">
        <v>45</v>
      </c>
      <c r="T156" s="1" t="str" cm="1">
        <f t="array" ref="T156">_xlfn.IFS(Table1[[#This Row],[age]]&lt;=17,"CHILD",Table1[[#This Row],[age]]&lt;=35,"YOUNG ADULT",Table1[[#This Row],[age]]&lt;=55,"MIDDLE AGE",Table1[[#This Row],[age]]&gt;=56,"SENIOR")</f>
        <v>SENIOR</v>
      </c>
    </row>
    <row r="157" spans="1:20" x14ac:dyDescent="0.3">
      <c r="A157" t="s">
        <v>339</v>
      </c>
      <c r="B157" t="s">
        <v>151</v>
      </c>
      <c r="C157" t="s">
        <v>112</v>
      </c>
      <c r="D157" s="1">
        <v>45252</v>
      </c>
      <c r="E157" s="2">
        <v>0.60416666666666663</v>
      </c>
      <c r="F157" t="s">
        <v>10</v>
      </c>
      <c r="G157" t="s">
        <v>82</v>
      </c>
      <c r="H157" t="s">
        <v>70</v>
      </c>
      <c r="I157" t="s">
        <v>42</v>
      </c>
      <c r="J157" t="str">
        <f t="shared" si="2"/>
        <v>Michael Wilson</v>
      </c>
      <c r="K157" t="s">
        <v>24</v>
      </c>
      <c r="L157" s="1">
        <v>37316</v>
      </c>
      <c r="M157" s="3">
        <v>24</v>
      </c>
      <c r="N157">
        <v>7765390555</v>
      </c>
      <c r="O157" t="s">
        <v>15</v>
      </c>
      <c r="P157" s="1">
        <v>44580</v>
      </c>
      <c r="Q157" t="s">
        <v>16</v>
      </c>
      <c r="R157" t="s">
        <v>152</v>
      </c>
      <c r="S157" t="s">
        <v>153</v>
      </c>
      <c r="T157" s="1" t="str" cm="1">
        <f t="array" ref="T157">_xlfn.IFS(Table1[[#This Row],[age]]&lt;=17,"CHILD",Table1[[#This Row],[age]]&lt;=35,"YOUNG ADULT",Table1[[#This Row],[age]]&lt;=55,"MIDDLE AGE",Table1[[#This Row],[age]]&gt;=56,"SENIOR")</f>
        <v>YOUNG ADULT</v>
      </c>
    </row>
    <row r="158" spans="1:20" x14ac:dyDescent="0.3">
      <c r="A158" t="s">
        <v>340</v>
      </c>
      <c r="B158" t="s">
        <v>156</v>
      </c>
      <c r="C158" t="s">
        <v>62</v>
      </c>
      <c r="D158" s="1">
        <v>45058</v>
      </c>
      <c r="E158" s="2">
        <v>0.45833333333333331</v>
      </c>
      <c r="F158" t="s">
        <v>76</v>
      </c>
      <c r="G158" t="s">
        <v>82</v>
      </c>
      <c r="H158" t="s">
        <v>70</v>
      </c>
      <c r="I158" t="s">
        <v>42</v>
      </c>
      <c r="J158" t="str">
        <f t="shared" si="2"/>
        <v>Michael Wilson</v>
      </c>
      <c r="K158" t="s">
        <v>24</v>
      </c>
      <c r="L158" s="1">
        <v>35790</v>
      </c>
      <c r="M158" s="3">
        <v>28</v>
      </c>
      <c r="N158">
        <v>8545613046</v>
      </c>
      <c r="O158" t="s">
        <v>25</v>
      </c>
      <c r="P158" s="1">
        <v>44838</v>
      </c>
      <c r="Q158" t="s">
        <v>26</v>
      </c>
      <c r="R158" t="s">
        <v>157</v>
      </c>
      <c r="S158" t="s">
        <v>153</v>
      </c>
      <c r="T158" s="1" t="str" cm="1">
        <f t="array" ref="T158">_xlfn.IFS(Table1[[#This Row],[age]]&lt;=17,"CHILD",Table1[[#This Row],[age]]&lt;=35,"YOUNG ADULT",Table1[[#This Row],[age]]&lt;=55,"MIDDLE AGE",Table1[[#This Row],[age]]&gt;=56,"SENIOR")</f>
        <v>YOUNG ADULT</v>
      </c>
    </row>
    <row r="159" spans="1:20" x14ac:dyDescent="0.3">
      <c r="A159" t="s">
        <v>341</v>
      </c>
      <c r="B159" t="s">
        <v>164</v>
      </c>
      <c r="C159" t="s">
        <v>69</v>
      </c>
      <c r="D159" s="1">
        <v>45119</v>
      </c>
      <c r="E159" s="2">
        <v>0.51041666666666663</v>
      </c>
      <c r="F159" t="s">
        <v>56</v>
      </c>
      <c r="G159" t="s">
        <v>82</v>
      </c>
      <c r="H159" t="s">
        <v>57</v>
      </c>
      <c r="I159" t="s">
        <v>165</v>
      </c>
      <c r="J159" t="str">
        <f t="shared" si="2"/>
        <v>Linda Johnson</v>
      </c>
      <c r="K159" t="s">
        <v>24</v>
      </c>
      <c r="L159" s="1">
        <v>34387</v>
      </c>
      <c r="M159" s="3">
        <v>32</v>
      </c>
      <c r="N159">
        <v>6141951830</v>
      </c>
      <c r="O159" t="s">
        <v>64</v>
      </c>
      <c r="P159" s="1">
        <v>44557</v>
      </c>
      <c r="Q159" t="s">
        <v>16</v>
      </c>
      <c r="R159" t="s">
        <v>166</v>
      </c>
      <c r="S159" t="s">
        <v>167</v>
      </c>
      <c r="T159" s="1" t="str" cm="1">
        <f t="array" ref="T159">_xlfn.IFS(Table1[[#This Row],[age]]&lt;=17,"CHILD",Table1[[#This Row],[age]]&lt;=35,"YOUNG ADULT",Table1[[#This Row],[age]]&lt;=55,"MIDDLE AGE",Table1[[#This Row],[age]]&gt;=56,"SENIOR")</f>
        <v>YOUNG ADULT</v>
      </c>
    </row>
    <row r="160" spans="1:20" x14ac:dyDescent="0.3">
      <c r="A160" t="s">
        <v>342</v>
      </c>
      <c r="B160" t="s">
        <v>68</v>
      </c>
      <c r="C160" t="s">
        <v>48</v>
      </c>
      <c r="D160" s="1">
        <v>45024</v>
      </c>
      <c r="E160" s="2">
        <v>0.67708333333333337</v>
      </c>
      <c r="F160" t="s">
        <v>49</v>
      </c>
      <c r="G160" t="s">
        <v>22</v>
      </c>
      <c r="H160" t="s">
        <v>70</v>
      </c>
      <c r="I160" t="s">
        <v>71</v>
      </c>
      <c r="J160" t="str">
        <f t="shared" si="2"/>
        <v>Michael Taylor</v>
      </c>
      <c r="K160" t="s">
        <v>24</v>
      </c>
      <c r="L160" s="1">
        <v>36729</v>
      </c>
      <c r="M160" s="3">
        <v>26</v>
      </c>
      <c r="N160">
        <v>7223380592</v>
      </c>
      <c r="O160" t="s">
        <v>64</v>
      </c>
      <c r="P160" s="1">
        <v>44400</v>
      </c>
      <c r="Q160" t="s">
        <v>35</v>
      </c>
      <c r="R160" t="s">
        <v>72</v>
      </c>
      <c r="S160" t="s">
        <v>73</v>
      </c>
      <c r="T160" s="1" t="str" cm="1">
        <f t="array" ref="T160">_xlfn.IFS(Table1[[#This Row],[age]]&lt;=17,"CHILD",Table1[[#This Row],[age]]&lt;=35,"YOUNG ADULT",Table1[[#This Row],[age]]&lt;=55,"MIDDLE AGE",Table1[[#This Row],[age]]&gt;=56,"SENIOR")</f>
        <v>YOUNG ADULT</v>
      </c>
    </row>
    <row r="161" spans="1:20" x14ac:dyDescent="0.3">
      <c r="A161" t="s">
        <v>343</v>
      </c>
      <c r="B161" t="s">
        <v>75</v>
      </c>
      <c r="C161" t="s">
        <v>119</v>
      </c>
      <c r="D161" s="1">
        <v>45277</v>
      </c>
      <c r="E161" s="2">
        <v>0.53125</v>
      </c>
      <c r="F161" t="s">
        <v>49</v>
      </c>
      <c r="G161" t="s">
        <v>32</v>
      </c>
      <c r="H161" t="s">
        <v>77</v>
      </c>
      <c r="I161" t="s">
        <v>42</v>
      </c>
      <c r="J161" t="str">
        <f t="shared" si="2"/>
        <v>Jane Wilson</v>
      </c>
      <c r="K161" t="s">
        <v>14</v>
      </c>
      <c r="L161" s="1">
        <v>18609</v>
      </c>
      <c r="M161" s="3">
        <v>75</v>
      </c>
      <c r="N161">
        <v>9271131338</v>
      </c>
      <c r="O161" t="s">
        <v>64</v>
      </c>
      <c r="P161" s="1">
        <v>44264</v>
      </c>
      <c r="Q161" t="s">
        <v>35</v>
      </c>
      <c r="R161" t="s">
        <v>78</v>
      </c>
      <c r="S161" t="s">
        <v>79</v>
      </c>
      <c r="T161" s="1" t="str" cm="1">
        <f t="array" ref="T161">_xlfn.IFS(Table1[[#This Row],[age]]&lt;=17,"CHILD",Table1[[#This Row],[age]]&lt;=35,"YOUNG ADULT",Table1[[#This Row],[age]]&lt;=55,"MIDDLE AGE",Table1[[#This Row],[age]]&gt;=56,"SENIOR")</f>
        <v>SENIOR</v>
      </c>
    </row>
    <row r="162" spans="1:20" x14ac:dyDescent="0.3">
      <c r="A162" t="s">
        <v>344</v>
      </c>
      <c r="B162" t="s">
        <v>55</v>
      </c>
      <c r="C162" t="s">
        <v>144</v>
      </c>
      <c r="D162" s="1">
        <v>45094</v>
      </c>
      <c r="E162" s="2">
        <v>0.44791666666666669</v>
      </c>
      <c r="F162" t="s">
        <v>31</v>
      </c>
      <c r="G162" t="s">
        <v>11</v>
      </c>
      <c r="H162" t="s">
        <v>57</v>
      </c>
      <c r="I162" t="s">
        <v>34</v>
      </c>
      <c r="J162" t="str">
        <f t="shared" si="2"/>
        <v>Linda Miller</v>
      </c>
      <c r="K162" t="s">
        <v>14</v>
      </c>
      <c r="L162" s="1">
        <v>24222</v>
      </c>
      <c r="M162" s="3">
        <v>60</v>
      </c>
      <c r="N162">
        <v>7579616535</v>
      </c>
      <c r="O162" t="s">
        <v>15</v>
      </c>
      <c r="P162" s="1">
        <v>44219</v>
      </c>
      <c r="Q162" t="s">
        <v>26</v>
      </c>
      <c r="R162" t="s">
        <v>58</v>
      </c>
      <c r="S162" t="s">
        <v>59</v>
      </c>
      <c r="T162" s="1" t="str" cm="1">
        <f t="array" ref="T162">_xlfn.IFS(Table1[[#This Row],[age]]&lt;=17,"CHILD",Table1[[#This Row],[age]]&lt;=35,"YOUNG ADULT",Table1[[#This Row],[age]]&lt;=55,"MIDDLE AGE",Table1[[#This Row],[age]]&gt;=56,"SENIOR")</f>
        <v>SENIOR</v>
      </c>
    </row>
    <row r="163" spans="1:20" x14ac:dyDescent="0.3">
      <c r="A163" t="s">
        <v>345</v>
      </c>
      <c r="B163" t="s">
        <v>346</v>
      </c>
      <c r="C163" t="s">
        <v>21</v>
      </c>
      <c r="D163" s="1">
        <v>44927</v>
      </c>
      <c r="E163" s="2">
        <v>0.71875</v>
      </c>
      <c r="F163" t="s">
        <v>49</v>
      </c>
      <c r="G163" t="s">
        <v>22</v>
      </c>
      <c r="H163" t="s">
        <v>77</v>
      </c>
      <c r="I163" t="s">
        <v>13</v>
      </c>
      <c r="J163" t="str">
        <f t="shared" si="2"/>
        <v>Jane Smith</v>
      </c>
      <c r="K163" t="s">
        <v>14</v>
      </c>
      <c r="L163" s="1">
        <v>19958</v>
      </c>
      <c r="M163" s="3">
        <v>72</v>
      </c>
      <c r="N163">
        <v>7040069008</v>
      </c>
      <c r="O163" t="s">
        <v>64</v>
      </c>
      <c r="P163" s="1">
        <v>44635</v>
      </c>
      <c r="Q163" t="s">
        <v>26</v>
      </c>
      <c r="R163" t="s">
        <v>347</v>
      </c>
      <c r="S163" t="s">
        <v>348</v>
      </c>
      <c r="T163" s="1" t="str" cm="1">
        <f t="array" ref="T163">_xlfn.IFS(Table1[[#This Row],[age]]&lt;=17,"CHILD",Table1[[#This Row],[age]]&lt;=35,"YOUNG ADULT",Table1[[#This Row],[age]]&lt;=55,"MIDDLE AGE",Table1[[#This Row],[age]]&gt;=56,"SENIOR")</f>
        <v>SENIOR</v>
      </c>
    </row>
    <row r="164" spans="1:20" x14ac:dyDescent="0.3">
      <c r="A164" t="s">
        <v>349</v>
      </c>
      <c r="B164" t="s">
        <v>75</v>
      </c>
      <c r="C164" t="s">
        <v>69</v>
      </c>
      <c r="D164" s="1">
        <v>45104</v>
      </c>
      <c r="E164" s="2">
        <v>0.625</v>
      </c>
      <c r="F164" t="s">
        <v>10</v>
      </c>
      <c r="G164" t="s">
        <v>22</v>
      </c>
      <c r="H164" t="s">
        <v>77</v>
      </c>
      <c r="I164" t="s">
        <v>42</v>
      </c>
      <c r="J164" t="str">
        <f t="shared" si="2"/>
        <v>Jane Wilson</v>
      </c>
      <c r="K164" t="s">
        <v>14</v>
      </c>
      <c r="L164" s="1">
        <v>18609</v>
      </c>
      <c r="M164" s="3">
        <v>75</v>
      </c>
      <c r="N164">
        <v>9271131338</v>
      </c>
      <c r="O164" t="s">
        <v>64</v>
      </c>
      <c r="P164" s="1">
        <v>44264</v>
      </c>
      <c r="Q164" t="s">
        <v>35</v>
      </c>
      <c r="R164" t="s">
        <v>78</v>
      </c>
      <c r="S164" t="s">
        <v>79</v>
      </c>
      <c r="T164" s="1" t="str" cm="1">
        <f t="array" ref="T164">_xlfn.IFS(Table1[[#This Row],[age]]&lt;=17,"CHILD",Table1[[#This Row],[age]]&lt;=35,"YOUNG ADULT",Table1[[#This Row],[age]]&lt;=55,"MIDDLE AGE",Table1[[#This Row],[age]]&gt;=56,"SENIOR")</f>
        <v>SENIOR</v>
      </c>
    </row>
    <row r="165" spans="1:20" x14ac:dyDescent="0.3">
      <c r="A165" t="s">
        <v>350</v>
      </c>
      <c r="B165" t="s">
        <v>121</v>
      </c>
      <c r="C165" t="s">
        <v>112</v>
      </c>
      <c r="D165" s="1">
        <v>45135</v>
      </c>
      <c r="E165" s="2">
        <v>0.71875</v>
      </c>
      <c r="F165" t="s">
        <v>10</v>
      </c>
      <c r="G165" t="s">
        <v>32</v>
      </c>
      <c r="H165" t="s">
        <v>12</v>
      </c>
      <c r="I165" t="s">
        <v>71</v>
      </c>
      <c r="J165" t="str">
        <f t="shared" si="2"/>
        <v>Alex Taylor</v>
      </c>
      <c r="K165" t="s">
        <v>24</v>
      </c>
      <c r="L165" s="1">
        <v>24895</v>
      </c>
      <c r="M165" s="3">
        <v>58</v>
      </c>
      <c r="N165">
        <v>7292262512</v>
      </c>
      <c r="O165" t="s">
        <v>64</v>
      </c>
      <c r="P165" s="1">
        <v>45272</v>
      </c>
      <c r="Q165" t="s">
        <v>26</v>
      </c>
      <c r="R165" t="s">
        <v>122</v>
      </c>
      <c r="S165" t="s">
        <v>123</v>
      </c>
      <c r="T165" s="1" t="str" cm="1">
        <f t="array" ref="T165">_xlfn.IFS(Table1[[#This Row],[age]]&lt;=17,"CHILD",Table1[[#This Row],[age]]&lt;=35,"YOUNG ADULT",Table1[[#This Row],[age]]&lt;=55,"MIDDLE AGE",Table1[[#This Row],[age]]&gt;=56,"SENIOR")</f>
        <v>SENIOR</v>
      </c>
    </row>
    <row r="166" spans="1:20" x14ac:dyDescent="0.3">
      <c r="A166" t="s">
        <v>351</v>
      </c>
      <c r="B166" t="s">
        <v>175</v>
      </c>
      <c r="C166" t="s">
        <v>119</v>
      </c>
      <c r="D166" s="1">
        <v>45020</v>
      </c>
      <c r="E166" s="2">
        <v>0.64583333333333337</v>
      </c>
      <c r="F166" t="s">
        <v>31</v>
      </c>
      <c r="G166" t="s">
        <v>32</v>
      </c>
      <c r="H166" t="s">
        <v>41</v>
      </c>
      <c r="I166" t="s">
        <v>34</v>
      </c>
      <c r="J166" t="str">
        <f t="shared" si="2"/>
        <v>Robert Miller</v>
      </c>
      <c r="K166" t="s">
        <v>24</v>
      </c>
      <c r="L166" s="1">
        <v>31791</v>
      </c>
      <c r="M166" s="3">
        <v>39</v>
      </c>
      <c r="N166">
        <v>8280346676</v>
      </c>
      <c r="O166" t="s">
        <v>15</v>
      </c>
      <c r="P166" s="1">
        <v>44740</v>
      </c>
      <c r="Q166" t="s">
        <v>16</v>
      </c>
      <c r="R166" t="s">
        <v>176</v>
      </c>
      <c r="S166" t="s">
        <v>177</v>
      </c>
      <c r="T166" s="1" t="str" cm="1">
        <f t="array" ref="T166">_xlfn.IFS(Table1[[#This Row],[age]]&lt;=17,"CHILD",Table1[[#This Row],[age]]&lt;=35,"YOUNG ADULT",Table1[[#This Row],[age]]&lt;=55,"MIDDLE AGE",Table1[[#This Row],[age]]&gt;=56,"SENIOR")</f>
        <v>MIDDLE AGE</v>
      </c>
    </row>
    <row r="167" spans="1:20" x14ac:dyDescent="0.3">
      <c r="A167" t="s">
        <v>352</v>
      </c>
      <c r="B167" t="s">
        <v>81</v>
      </c>
      <c r="C167" t="s">
        <v>69</v>
      </c>
      <c r="D167" s="1">
        <v>44938</v>
      </c>
      <c r="E167" s="2">
        <v>0.61458333333333337</v>
      </c>
      <c r="F167" t="s">
        <v>10</v>
      </c>
      <c r="G167" t="s">
        <v>22</v>
      </c>
      <c r="H167" t="s">
        <v>63</v>
      </c>
      <c r="I167" t="s">
        <v>42</v>
      </c>
      <c r="J167" t="str">
        <f t="shared" si="2"/>
        <v>David Wilson</v>
      </c>
      <c r="K167" t="s">
        <v>24</v>
      </c>
      <c r="L167" s="1">
        <v>22090</v>
      </c>
      <c r="M167" s="3">
        <v>66</v>
      </c>
      <c r="N167">
        <v>7734463155</v>
      </c>
      <c r="O167" t="s">
        <v>25</v>
      </c>
      <c r="P167" s="1">
        <v>44468</v>
      </c>
      <c r="Q167" t="s">
        <v>26</v>
      </c>
      <c r="R167" t="s">
        <v>83</v>
      </c>
      <c r="S167" t="s">
        <v>84</v>
      </c>
      <c r="T167" s="1" t="str" cm="1">
        <f t="array" ref="T167">_xlfn.IFS(Table1[[#This Row],[age]]&lt;=17,"CHILD",Table1[[#This Row],[age]]&lt;=35,"YOUNG ADULT",Table1[[#This Row],[age]]&lt;=55,"MIDDLE AGE",Table1[[#This Row],[age]]&gt;=56,"SENIOR")</f>
        <v>SENIOR</v>
      </c>
    </row>
    <row r="168" spans="1:20" x14ac:dyDescent="0.3">
      <c r="A168" t="s">
        <v>353</v>
      </c>
      <c r="B168" t="s">
        <v>219</v>
      </c>
      <c r="C168" t="s">
        <v>119</v>
      </c>
      <c r="D168" s="1">
        <v>45245</v>
      </c>
      <c r="E168" s="2">
        <v>0.34375</v>
      </c>
      <c r="F168" t="s">
        <v>76</v>
      </c>
      <c r="G168" t="s">
        <v>11</v>
      </c>
      <c r="H168" t="s">
        <v>63</v>
      </c>
      <c r="I168" t="s">
        <v>42</v>
      </c>
      <c r="J168" t="str">
        <f t="shared" si="2"/>
        <v>David Wilson</v>
      </c>
      <c r="K168" t="s">
        <v>14</v>
      </c>
      <c r="L168" s="1">
        <v>34072</v>
      </c>
      <c r="M168" s="3">
        <v>33</v>
      </c>
      <c r="N168">
        <v>7039619487</v>
      </c>
      <c r="O168" t="s">
        <v>25</v>
      </c>
      <c r="P168" s="1">
        <v>45116</v>
      </c>
      <c r="Q168" t="s">
        <v>26</v>
      </c>
      <c r="R168" t="s">
        <v>220</v>
      </c>
      <c r="S168" t="s">
        <v>84</v>
      </c>
      <c r="T168" s="1" t="str" cm="1">
        <f t="array" ref="T168">_xlfn.IFS(Table1[[#This Row],[age]]&lt;=17,"CHILD",Table1[[#This Row],[age]]&lt;=35,"YOUNG ADULT",Table1[[#This Row],[age]]&lt;=55,"MIDDLE AGE",Table1[[#This Row],[age]]&gt;=56,"SENIOR")</f>
        <v>YOUNG ADULT</v>
      </c>
    </row>
    <row r="169" spans="1:20" x14ac:dyDescent="0.3">
      <c r="A169" t="s">
        <v>354</v>
      </c>
      <c r="B169" t="s">
        <v>164</v>
      </c>
      <c r="C169" t="s">
        <v>21</v>
      </c>
      <c r="D169" s="1">
        <v>45198</v>
      </c>
      <c r="E169" s="2">
        <v>0.41666666666666669</v>
      </c>
      <c r="F169" t="s">
        <v>31</v>
      </c>
      <c r="G169" t="s">
        <v>22</v>
      </c>
      <c r="H169" t="s">
        <v>57</v>
      </c>
      <c r="I169" t="s">
        <v>165</v>
      </c>
      <c r="J169" t="str">
        <f t="shared" si="2"/>
        <v>Linda Johnson</v>
      </c>
      <c r="K169" t="s">
        <v>24</v>
      </c>
      <c r="L169" s="1">
        <v>34387</v>
      </c>
      <c r="M169" s="3">
        <v>32</v>
      </c>
      <c r="N169">
        <v>6141951830</v>
      </c>
      <c r="O169" t="s">
        <v>64</v>
      </c>
      <c r="P169" s="1">
        <v>44557</v>
      </c>
      <c r="Q169" t="s">
        <v>16</v>
      </c>
      <c r="R169" t="s">
        <v>166</v>
      </c>
      <c r="S169" t="s">
        <v>167</v>
      </c>
      <c r="T169" s="1" t="str" cm="1">
        <f t="array" ref="T169">_xlfn.IFS(Table1[[#This Row],[age]]&lt;=17,"CHILD",Table1[[#This Row],[age]]&lt;=35,"YOUNG ADULT",Table1[[#This Row],[age]]&lt;=55,"MIDDLE AGE",Table1[[#This Row],[age]]&gt;=56,"SENIOR")</f>
        <v>YOUNG ADULT</v>
      </c>
    </row>
    <row r="170" spans="1:20" x14ac:dyDescent="0.3">
      <c r="A170" t="s">
        <v>355</v>
      </c>
      <c r="B170" t="s">
        <v>92</v>
      </c>
      <c r="C170" t="s">
        <v>112</v>
      </c>
      <c r="D170" s="1">
        <v>45131</v>
      </c>
      <c r="E170" s="2">
        <v>0.69791666666666663</v>
      </c>
      <c r="F170" t="s">
        <v>76</v>
      </c>
      <c r="G170" t="s">
        <v>32</v>
      </c>
      <c r="H170" t="s">
        <v>63</v>
      </c>
      <c r="I170" t="s">
        <v>13</v>
      </c>
      <c r="J170" t="str">
        <f t="shared" si="2"/>
        <v>David Smith</v>
      </c>
      <c r="K170" t="s">
        <v>24</v>
      </c>
      <c r="L170" s="1">
        <v>38487</v>
      </c>
      <c r="M170" s="3">
        <v>21</v>
      </c>
      <c r="N170">
        <v>8923607677</v>
      </c>
      <c r="O170" t="s">
        <v>64</v>
      </c>
      <c r="P170" s="1">
        <v>45035</v>
      </c>
      <c r="Q170" t="s">
        <v>43</v>
      </c>
      <c r="R170" t="s">
        <v>93</v>
      </c>
      <c r="S170" t="s">
        <v>94</v>
      </c>
      <c r="T170" s="1" t="str" cm="1">
        <f t="array" ref="T170">_xlfn.IFS(Table1[[#This Row],[age]]&lt;=17,"CHILD",Table1[[#This Row],[age]]&lt;=35,"YOUNG ADULT",Table1[[#This Row],[age]]&lt;=55,"MIDDLE AGE",Table1[[#This Row],[age]]&gt;=56,"SENIOR")</f>
        <v>YOUNG ADULT</v>
      </c>
    </row>
    <row r="171" spans="1:20" x14ac:dyDescent="0.3">
      <c r="A171" t="s">
        <v>356</v>
      </c>
      <c r="B171" t="s">
        <v>224</v>
      </c>
      <c r="C171" t="s">
        <v>144</v>
      </c>
      <c r="D171" s="1">
        <v>44988</v>
      </c>
      <c r="E171" s="2">
        <v>0.375</v>
      </c>
      <c r="F171" t="s">
        <v>56</v>
      </c>
      <c r="G171" t="s">
        <v>11</v>
      </c>
      <c r="H171" t="s">
        <v>57</v>
      </c>
      <c r="I171" t="s">
        <v>88</v>
      </c>
      <c r="J171" t="str">
        <f t="shared" si="2"/>
        <v>Linda Brown</v>
      </c>
      <c r="K171" t="s">
        <v>24</v>
      </c>
      <c r="L171" s="1">
        <v>29305</v>
      </c>
      <c r="M171" s="3">
        <v>46</v>
      </c>
      <c r="N171">
        <v>9127665406</v>
      </c>
      <c r="O171" t="s">
        <v>64</v>
      </c>
      <c r="P171" s="1">
        <v>44760</v>
      </c>
      <c r="Q171" t="s">
        <v>16</v>
      </c>
      <c r="R171" t="s">
        <v>225</v>
      </c>
      <c r="S171" t="s">
        <v>226</v>
      </c>
      <c r="T171" s="1" t="str" cm="1">
        <f t="array" ref="T171">_xlfn.IFS(Table1[[#This Row],[age]]&lt;=17,"CHILD",Table1[[#This Row],[age]]&lt;=35,"YOUNG ADULT",Table1[[#This Row],[age]]&lt;=55,"MIDDLE AGE",Table1[[#This Row],[age]]&gt;=56,"SENIOR")</f>
        <v>MIDDLE AGE</v>
      </c>
    </row>
    <row r="172" spans="1:20" x14ac:dyDescent="0.3">
      <c r="A172" t="s">
        <v>357</v>
      </c>
      <c r="B172" t="s">
        <v>276</v>
      </c>
      <c r="C172" t="s">
        <v>97</v>
      </c>
      <c r="D172" s="1">
        <v>45034</v>
      </c>
      <c r="E172" s="2">
        <v>0.6875</v>
      </c>
      <c r="F172" t="s">
        <v>76</v>
      </c>
      <c r="G172" t="s">
        <v>32</v>
      </c>
      <c r="H172" t="s">
        <v>33</v>
      </c>
      <c r="I172" t="s">
        <v>99</v>
      </c>
      <c r="J172" t="str">
        <f t="shared" si="2"/>
        <v>Emily Jones</v>
      </c>
      <c r="K172" t="s">
        <v>14</v>
      </c>
      <c r="L172" s="1">
        <v>24445</v>
      </c>
      <c r="M172" s="3">
        <v>59</v>
      </c>
      <c r="N172">
        <v>8990604070</v>
      </c>
      <c r="O172" t="s">
        <v>64</v>
      </c>
      <c r="P172" s="1">
        <v>44831</v>
      </c>
      <c r="Q172" t="s">
        <v>26</v>
      </c>
      <c r="R172" t="s">
        <v>277</v>
      </c>
      <c r="S172" t="s">
        <v>278</v>
      </c>
      <c r="T172" s="1" t="str" cm="1">
        <f t="array" ref="T172">_xlfn.IFS(Table1[[#This Row],[age]]&lt;=17,"CHILD",Table1[[#This Row],[age]]&lt;=35,"YOUNG ADULT",Table1[[#This Row],[age]]&lt;=55,"MIDDLE AGE",Table1[[#This Row],[age]]&gt;=56,"SENIOR")</f>
        <v>SENIOR</v>
      </c>
    </row>
    <row r="173" spans="1:20" x14ac:dyDescent="0.3">
      <c r="A173" t="s">
        <v>358</v>
      </c>
      <c r="B173" t="s">
        <v>296</v>
      </c>
      <c r="C173" t="s">
        <v>40</v>
      </c>
      <c r="D173" s="1">
        <v>44994</v>
      </c>
      <c r="E173" s="2">
        <v>0.67708333333333337</v>
      </c>
      <c r="F173" t="s">
        <v>56</v>
      </c>
      <c r="G173" t="s">
        <v>11</v>
      </c>
      <c r="H173" t="s">
        <v>98</v>
      </c>
      <c r="I173" t="s">
        <v>42</v>
      </c>
      <c r="J173" t="str">
        <f t="shared" si="2"/>
        <v>Laura Wilson</v>
      </c>
      <c r="K173" t="s">
        <v>24</v>
      </c>
      <c r="L173" s="1">
        <v>29122</v>
      </c>
      <c r="M173" s="3">
        <v>46</v>
      </c>
      <c r="N173">
        <v>7145815738</v>
      </c>
      <c r="O173" t="s">
        <v>64</v>
      </c>
      <c r="P173" s="1">
        <v>44827</v>
      </c>
      <c r="Q173" t="s">
        <v>35</v>
      </c>
      <c r="R173" t="s">
        <v>297</v>
      </c>
      <c r="S173" t="s">
        <v>217</v>
      </c>
      <c r="T173" s="1" t="str" cm="1">
        <f t="array" ref="T173">_xlfn.IFS(Table1[[#This Row],[age]]&lt;=17,"CHILD",Table1[[#This Row],[age]]&lt;=35,"YOUNG ADULT",Table1[[#This Row],[age]]&lt;=55,"MIDDLE AGE",Table1[[#This Row],[age]]&gt;=56,"SENIOR")</f>
        <v>MIDDLE AGE</v>
      </c>
    </row>
    <row r="174" spans="1:20" x14ac:dyDescent="0.3">
      <c r="A174" t="s">
        <v>359</v>
      </c>
      <c r="B174" t="s">
        <v>129</v>
      </c>
      <c r="C174" t="s">
        <v>144</v>
      </c>
      <c r="D174" s="1">
        <v>45081</v>
      </c>
      <c r="E174" s="2">
        <v>0.5625</v>
      </c>
      <c r="F174" t="s">
        <v>56</v>
      </c>
      <c r="G174" t="s">
        <v>82</v>
      </c>
      <c r="H174" t="s">
        <v>77</v>
      </c>
      <c r="I174" t="s">
        <v>23</v>
      </c>
      <c r="J174" t="str">
        <f t="shared" si="2"/>
        <v>Jane Moore</v>
      </c>
      <c r="K174" t="s">
        <v>24</v>
      </c>
      <c r="L174" s="1">
        <v>35046</v>
      </c>
      <c r="M174" s="3">
        <v>30</v>
      </c>
      <c r="N174">
        <v>8715732851</v>
      </c>
      <c r="O174" t="s">
        <v>15</v>
      </c>
      <c r="P174" s="1">
        <v>44701</v>
      </c>
      <c r="Q174" t="s">
        <v>16</v>
      </c>
      <c r="R174" t="s">
        <v>130</v>
      </c>
      <c r="S174" t="s">
        <v>131</v>
      </c>
      <c r="T174" s="1" t="str" cm="1">
        <f t="array" ref="T174">_xlfn.IFS(Table1[[#This Row],[age]]&lt;=17,"CHILD",Table1[[#This Row],[age]]&lt;=35,"YOUNG ADULT",Table1[[#This Row],[age]]&lt;=55,"MIDDLE AGE",Table1[[#This Row],[age]]&gt;=56,"SENIOR")</f>
        <v>YOUNG ADULT</v>
      </c>
    </row>
    <row r="175" spans="1:20" x14ac:dyDescent="0.3">
      <c r="A175" t="s">
        <v>360</v>
      </c>
      <c r="B175" t="s">
        <v>103</v>
      </c>
      <c r="C175" t="s">
        <v>97</v>
      </c>
      <c r="D175" s="1">
        <v>45230</v>
      </c>
      <c r="E175" s="2">
        <v>0.46875</v>
      </c>
      <c r="F175" t="s">
        <v>76</v>
      </c>
      <c r="G175" t="s">
        <v>32</v>
      </c>
      <c r="H175" t="s">
        <v>98</v>
      </c>
      <c r="I175" t="s">
        <v>104</v>
      </c>
      <c r="J175" t="str">
        <f t="shared" si="2"/>
        <v>Laura Davis</v>
      </c>
      <c r="K175" t="s">
        <v>14</v>
      </c>
      <c r="L175" s="1">
        <v>33580</v>
      </c>
      <c r="M175" s="3">
        <v>34</v>
      </c>
      <c r="N175">
        <v>8135666049</v>
      </c>
      <c r="O175" t="s">
        <v>15</v>
      </c>
      <c r="P175" s="1">
        <v>45043</v>
      </c>
      <c r="Q175" t="s">
        <v>26</v>
      </c>
      <c r="R175" t="s">
        <v>105</v>
      </c>
      <c r="S175" t="s">
        <v>106</v>
      </c>
      <c r="T175" s="1" t="str" cm="1">
        <f t="array" ref="T175">_xlfn.IFS(Table1[[#This Row],[age]]&lt;=17,"CHILD",Table1[[#This Row],[age]]&lt;=35,"YOUNG ADULT",Table1[[#This Row],[age]]&lt;=55,"MIDDLE AGE",Table1[[#This Row],[age]]&gt;=56,"SENIOR")</f>
        <v>YOUNG ADULT</v>
      </c>
    </row>
    <row r="176" spans="1:20" x14ac:dyDescent="0.3">
      <c r="A176" t="s">
        <v>361</v>
      </c>
      <c r="B176" t="s">
        <v>287</v>
      </c>
      <c r="C176" t="s">
        <v>48</v>
      </c>
      <c r="D176" s="1">
        <v>45221</v>
      </c>
      <c r="E176" s="2">
        <v>0.70833333333333337</v>
      </c>
      <c r="F176" t="s">
        <v>31</v>
      </c>
      <c r="G176" t="s">
        <v>32</v>
      </c>
      <c r="H176" t="s">
        <v>98</v>
      </c>
      <c r="I176" t="s">
        <v>104</v>
      </c>
      <c r="J176" t="str">
        <f t="shared" si="2"/>
        <v>Laura Davis</v>
      </c>
      <c r="K176" t="s">
        <v>24</v>
      </c>
      <c r="L176" s="1">
        <v>26278</v>
      </c>
      <c r="M176" s="3">
        <v>54</v>
      </c>
      <c r="N176">
        <v>7060324619</v>
      </c>
      <c r="O176" t="s">
        <v>15</v>
      </c>
      <c r="P176" s="1">
        <v>44822</v>
      </c>
      <c r="Q176" t="s">
        <v>35</v>
      </c>
      <c r="R176" t="s">
        <v>288</v>
      </c>
      <c r="S176" t="s">
        <v>106</v>
      </c>
      <c r="T176" s="1" t="str" cm="1">
        <f t="array" ref="T176">_xlfn.IFS(Table1[[#This Row],[age]]&lt;=17,"CHILD",Table1[[#This Row],[age]]&lt;=35,"YOUNG ADULT",Table1[[#This Row],[age]]&lt;=55,"MIDDLE AGE",Table1[[#This Row],[age]]&gt;=56,"SENIOR")</f>
        <v>MIDDLE AGE</v>
      </c>
    </row>
    <row r="177" spans="1:20" x14ac:dyDescent="0.3">
      <c r="A177" t="s">
        <v>362</v>
      </c>
      <c r="B177" t="s">
        <v>169</v>
      </c>
      <c r="C177" t="s">
        <v>9</v>
      </c>
      <c r="D177" s="1">
        <v>45042</v>
      </c>
      <c r="E177" s="2">
        <v>0.39583333333333331</v>
      </c>
      <c r="F177" t="s">
        <v>10</v>
      </c>
      <c r="G177" t="s">
        <v>22</v>
      </c>
      <c r="H177" t="s">
        <v>70</v>
      </c>
      <c r="I177" t="s">
        <v>71</v>
      </c>
      <c r="J177" t="str">
        <f t="shared" si="2"/>
        <v>Michael Taylor</v>
      </c>
      <c r="K177" t="s">
        <v>24</v>
      </c>
      <c r="L177" s="1">
        <v>37177</v>
      </c>
      <c r="M177" s="3">
        <v>24</v>
      </c>
      <c r="N177">
        <v>7081396733</v>
      </c>
      <c r="O177" t="s">
        <v>25</v>
      </c>
      <c r="P177" s="1">
        <v>44797</v>
      </c>
      <c r="Q177" t="s">
        <v>16</v>
      </c>
      <c r="R177" t="s">
        <v>170</v>
      </c>
      <c r="S177" t="s">
        <v>73</v>
      </c>
      <c r="T177" s="1" t="str" cm="1">
        <f t="array" ref="T177">_xlfn.IFS(Table1[[#This Row],[age]]&lt;=17,"CHILD",Table1[[#This Row],[age]]&lt;=35,"YOUNG ADULT",Table1[[#This Row],[age]]&lt;=55,"MIDDLE AGE",Table1[[#This Row],[age]]&gt;=56,"SENIOR")</f>
        <v>YOUNG ADULT</v>
      </c>
    </row>
    <row r="178" spans="1:20" x14ac:dyDescent="0.3">
      <c r="A178" t="s">
        <v>363</v>
      </c>
      <c r="B178" t="s">
        <v>236</v>
      </c>
      <c r="C178" t="s">
        <v>62</v>
      </c>
      <c r="D178" s="1">
        <v>45154</v>
      </c>
      <c r="E178" s="2">
        <v>0.52083333333333337</v>
      </c>
      <c r="F178" t="s">
        <v>10</v>
      </c>
      <c r="G178" t="s">
        <v>32</v>
      </c>
      <c r="H178" t="s">
        <v>41</v>
      </c>
      <c r="I178" t="s">
        <v>71</v>
      </c>
      <c r="J178" t="str">
        <f t="shared" si="2"/>
        <v>Robert Taylor</v>
      </c>
      <c r="K178" t="s">
        <v>14</v>
      </c>
      <c r="L178" s="1">
        <v>27830</v>
      </c>
      <c r="M178" s="3">
        <v>50</v>
      </c>
      <c r="N178">
        <v>9449458981</v>
      </c>
      <c r="O178" t="s">
        <v>15</v>
      </c>
      <c r="P178" s="1">
        <v>44952</v>
      </c>
      <c r="Q178" t="s">
        <v>35</v>
      </c>
      <c r="R178" t="s">
        <v>237</v>
      </c>
      <c r="S178" t="s">
        <v>238</v>
      </c>
      <c r="T178" s="1" t="str" cm="1">
        <f t="array" ref="T178">_xlfn.IFS(Table1[[#This Row],[age]]&lt;=17,"CHILD",Table1[[#This Row],[age]]&lt;=35,"YOUNG ADULT",Table1[[#This Row],[age]]&lt;=55,"MIDDLE AGE",Table1[[#This Row],[age]]&gt;=56,"SENIOR")</f>
        <v>MIDDLE AGE</v>
      </c>
    </row>
    <row r="179" spans="1:20" x14ac:dyDescent="0.3">
      <c r="A179" t="s">
        <v>364</v>
      </c>
      <c r="B179" t="s">
        <v>252</v>
      </c>
      <c r="C179" t="s">
        <v>62</v>
      </c>
      <c r="D179" s="1">
        <v>44943</v>
      </c>
      <c r="E179" s="2">
        <v>0.55208333333333337</v>
      </c>
      <c r="F179" t="s">
        <v>56</v>
      </c>
      <c r="G179" t="s">
        <v>32</v>
      </c>
      <c r="H179" t="s">
        <v>77</v>
      </c>
      <c r="I179" t="s">
        <v>99</v>
      </c>
      <c r="J179" t="str">
        <f t="shared" si="2"/>
        <v>Jane Jones</v>
      </c>
      <c r="K179" t="s">
        <v>24</v>
      </c>
      <c r="L179" s="1">
        <v>33359</v>
      </c>
      <c r="M179" s="3">
        <v>35</v>
      </c>
      <c r="N179">
        <v>6158428240</v>
      </c>
      <c r="O179" t="s">
        <v>51</v>
      </c>
      <c r="P179" s="1">
        <v>44830</v>
      </c>
      <c r="Q179" t="s">
        <v>16</v>
      </c>
      <c r="R179" t="s">
        <v>253</v>
      </c>
      <c r="S179" t="s">
        <v>254</v>
      </c>
      <c r="T179" s="1" t="str" cm="1">
        <f t="array" ref="T179">_xlfn.IFS(Table1[[#This Row],[age]]&lt;=17,"CHILD",Table1[[#This Row],[age]]&lt;=35,"YOUNG ADULT",Table1[[#This Row],[age]]&lt;=55,"MIDDLE AGE",Table1[[#This Row],[age]]&gt;=56,"SENIOR")</f>
        <v>YOUNG ADULT</v>
      </c>
    </row>
    <row r="180" spans="1:20" x14ac:dyDescent="0.3">
      <c r="A180" t="s">
        <v>365</v>
      </c>
      <c r="B180" t="s">
        <v>366</v>
      </c>
      <c r="C180" t="s">
        <v>40</v>
      </c>
      <c r="D180" s="1">
        <v>44993</v>
      </c>
      <c r="E180" s="2">
        <v>0.51041666666666663</v>
      </c>
      <c r="F180" t="s">
        <v>56</v>
      </c>
      <c r="G180" t="s">
        <v>82</v>
      </c>
      <c r="H180" t="s">
        <v>63</v>
      </c>
      <c r="I180" t="s">
        <v>13</v>
      </c>
      <c r="J180" t="str">
        <f t="shared" si="2"/>
        <v>David Smith</v>
      </c>
      <c r="K180" t="s">
        <v>24</v>
      </c>
      <c r="L180" s="1">
        <v>33414</v>
      </c>
      <c r="M180" s="3">
        <v>35</v>
      </c>
      <c r="N180">
        <v>6347262390</v>
      </c>
      <c r="O180" t="s">
        <v>64</v>
      </c>
      <c r="P180" s="1">
        <v>44305</v>
      </c>
      <c r="Q180" t="s">
        <v>26</v>
      </c>
      <c r="R180" t="s">
        <v>367</v>
      </c>
      <c r="S180" t="s">
        <v>94</v>
      </c>
      <c r="T180" s="1" t="str" cm="1">
        <f t="array" ref="T180">_xlfn.IFS(Table1[[#This Row],[age]]&lt;=17,"CHILD",Table1[[#This Row],[age]]&lt;=35,"YOUNG ADULT",Table1[[#This Row],[age]]&lt;=55,"MIDDLE AGE",Table1[[#This Row],[age]]&gt;=56,"SENIOR")</f>
        <v>YOUNG ADULT</v>
      </c>
    </row>
    <row r="181" spans="1:20" x14ac:dyDescent="0.3">
      <c r="A181" t="s">
        <v>368</v>
      </c>
      <c r="B181" t="s">
        <v>269</v>
      </c>
      <c r="C181" t="s">
        <v>112</v>
      </c>
      <c r="D181" s="1">
        <v>44933</v>
      </c>
      <c r="E181" s="2">
        <v>0.45833333333333331</v>
      </c>
      <c r="F181" t="s">
        <v>31</v>
      </c>
      <c r="G181" t="s">
        <v>32</v>
      </c>
      <c r="H181" t="s">
        <v>12</v>
      </c>
      <c r="I181" t="s">
        <v>165</v>
      </c>
      <c r="J181" t="str">
        <f t="shared" si="2"/>
        <v>Alex Johnson</v>
      </c>
      <c r="K181" t="s">
        <v>14</v>
      </c>
      <c r="L181" s="1">
        <v>32667</v>
      </c>
      <c r="M181" s="3">
        <v>37</v>
      </c>
      <c r="N181">
        <v>6278710077</v>
      </c>
      <c r="O181" t="s">
        <v>64</v>
      </c>
      <c r="P181" s="1">
        <v>44555</v>
      </c>
      <c r="Q181" t="s">
        <v>26</v>
      </c>
      <c r="R181" t="s">
        <v>270</v>
      </c>
      <c r="S181" t="s">
        <v>271</v>
      </c>
      <c r="T181" s="1" t="str" cm="1">
        <f t="array" ref="T181">_xlfn.IFS(Table1[[#This Row],[age]]&lt;=17,"CHILD",Table1[[#This Row],[age]]&lt;=35,"YOUNG ADULT",Table1[[#This Row],[age]]&lt;=55,"MIDDLE AGE",Table1[[#This Row],[age]]&gt;=56,"SENIOR")</f>
        <v>MIDDLE AGE</v>
      </c>
    </row>
    <row r="182" spans="1:20" x14ac:dyDescent="0.3">
      <c r="A182" t="s">
        <v>369</v>
      </c>
      <c r="B182" t="s">
        <v>141</v>
      </c>
      <c r="C182" t="s">
        <v>21</v>
      </c>
      <c r="D182" s="1">
        <v>45172</v>
      </c>
      <c r="E182" s="2">
        <v>0.55208333333333337</v>
      </c>
      <c r="F182" t="s">
        <v>49</v>
      </c>
      <c r="G182" t="s">
        <v>82</v>
      </c>
      <c r="H182" t="s">
        <v>70</v>
      </c>
      <c r="I182" t="s">
        <v>71</v>
      </c>
      <c r="J182" t="str">
        <f t="shared" si="2"/>
        <v>Michael Taylor</v>
      </c>
      <c r="K182" t="s">
        <v>14</v>
      </c>
      <c r="L182" s="1">
        <v>31656</v>
      </c>
      <c r="M182" s="3">
        <v>40</v>
      </c>
      <c r="N182">
        <v>8019925828</v>
      </c>
      <c r="O182" t="s">
        <v>51</v>
      </c>
      <c r="P182" s="1">
        <v>44408</v>
      </c>
      <c r="Q182" t="s">
        <v>26</v>
      </c>
      <c r="R182" t="s">
        <v>142</v>
      </c>
      <c r="S182" t="s">
        <v>73</v>
      </c>
      <c r="T182" s="1" t="str" cm="1">
        <f t="array" ref="T182">_xlfn.IFS(Table1[[#This Row],[age]]&lt;=17,"CHILD",Table1[[#This Row],[age]]&lt;=35,"YOUNG ADULT",Table1[[#This Row],[age]]&lt;=55,"MIDDLE AGE",Table1[[#This Row],[age]]&gt;=56,"SENIOR")</f>
        <v>MIDDLE AGE</v>
      </c>
    </row>
    <row r="183" spans="1:20" x14ac:dyDescent="0.3">
      <c r="A183" t="s">
        <v>370</v>
      </c>
      <c r="B183" t="s">
        <v>241</v>
      </c>
      <c r="C183" t="s">
        <v>112</v>
      </c>
      <c r="D183" s="1">
        <v>45028</v>
      </c>
      <c r="E183" s="2">
        <v>0.33333333333333331</v>
      </c>
      <c r="F183" t="s">
        <v>76</v>
      </c>
      <c r="G183" t="s">
        <v>82</v>
      </c>
      <c r="H183" t="s">
        <v>98</v>
      </c>
      <c r="I183" t="s">
        <v>165</v>
      </c>
      <c r="J183" t="str">
        <f t="shared" si="2"/>
        <v>Laura Johnson</v>
      </c>
      <c r="K183" t="s">
        <v>14</v>
      </c>
      <c r="L183" s="1">
        <v>32960</v>
      </c>
      <c r="M183" s="3">
        <v>36</v>
      </c>
      <c r="N183">
        <v>9059178882</v>
      </c>
      <c r="O183" t="s">
        <v>15</v>
      </c>
      <c r="P183" s="1">
        <v>44553</v>
      </c>
      <c r="Q183" t="s">
        <v>16</v>
      </c>
      <c r="R183" t="s">
        <v>242</v>
      </c>
      <c r="S183" t="s">
        <v>243</v>
      </c>
      <c r="T183" s="1" t="str" cm="1">
        <f t="array" ref="T183">_xlfn.IFS(Table1[[#This Row],[age]]&lt;=17,"CHILD",Table1[[#This Row],[age]]&lt;=35,"YOUNG ADULT",Table1[[#This Row],[age]]&lt;=55,"MIDDLE AGE",Table1[[#This Row],[age]]&gt;=56,"SENIOR")</f>
        <v>MIDDLE AGE</v>
      </c>
    </row>
    <row r="184" spans="1:20" x14ac:dyDescent="0.3">
      <c r="A184" t="s">
        <v>371</v>
      </c>
      <c r="B184" t="s">
        <v>47</v>
      </c>
      <c r="C184" t="s">
        <v>21</v>
      </c>
      <c r="D184" s="1">
        <v>44960</v>
      </c>
      <c r="E184" s="2">
        <v>0.67708333333333337</v>
      </c>
      <c r="F184" t="s">
        <v>56</v>
      </c>
      <c r="G184" t="s">
        <v>82</v>
      </c>
      <c r="H184" t="s">
        <v>33</v>
      </c>
      <c r="I184" t="s">
        <v>50</v>
      </c>
      <c r="J184" t="str">
        <f t="shared" si="2"/>
        <v>Emily Williams</v>
      </c>
      <c r="K184" t="s">
        <v>24</v>
      </c>
      <c r="L184" s="1">
        <v>26449</v>
      </c>
      <c r="M184" s="3">
        <v>54</v>
      </c>
      <c r="N184">
        <v>7587653815</v>
      </c>
      <c r="O184" t="s">
        <v>51</v>
      </c>
      <c r="P184" s="1">
        <v>44485</v>
      </c>
      <c r="Q184" t="s">
        <v>35</v>
      </c>
      <c r="R184" t="s">
        <v>52</v>
      </c>
      <c r="S184" t="s">
        <v>53</v>
      </c>
      <c r="T184" s="1" t="str" cm="1">
        <f t="array" ref="T184">_xlfn.IFS(Table1[[#This Row],[age]]&lt;=17,"CHILD",Table1[[#This Row],[age]]&lt;=35,"YOUNG ADULT",Table1[[#This Row],[age]]&lt;=55,"MIDDLE AGE",Table1[[#This Row],[age]]&gt;=56,"SENIOR")</f>
        <v>MIDDLE AGE</v>
      </c>
    </row>
    <row r="185" spans="1:20" x14ac:dyDescent="0.3">
      <c r="A185" t="s">
        <v>372</v>
      </c>
      <c r="B185" t="s">
        <v>346</v>
      </c>
      <c r="C185" t="s">
        <v>112</v>
      </c>
      <c r="D185" s="1">
        <v>44983</v>
      </c>
      <c r="E185" s="2">
        <v>0.73958333333333337</v>
      </c>
      <c r="F185" t="s">
        <v>10</v>
      </c>
      <c r="G185" t="s">
        <v>82</v>
      </c>
      <c r="H185" t="s">
        <v>77</v>
      </c>
      <c r="I185" t="s">
        <v>13</v>
      </c>
      <c r="J185" t="str">
        <f t="shared" si="2"/>
        <v>Jane Smith</v>
      </c>
      <c r="K185" t="s">
        <v>14</v>
      </c>
      <c r="L185" s="1">
        <v>19958</v>
      </c>
      <c r="M185" s="3">
        <v>72</v>
      </c>
      <c r="N185">
        <v>7040069008</v>
      </c>
      <c r="O185" t="s">
        <v>64</v>
      </c>
      <c r="P185" s="1">
        <v>44635</v>
      </c>
      <c r="Q185" t="s">
        <v>26</v>
      </c>
      <c r="R185" t="s">
        <v>347</v>
      </c>
      <c r="S185" t="s">
        <v>348</v>
      </c>
      <c r="T185" s="1" t="str" cm="1">
        <f t="array" ref="T185">_xlfn.IFS(Table1[[#This Row],[age]]&lt;=17,"CHILD",Table1[[#This Row],[age]]&lt;=35,"YOUNG ADULT",Table1[[#This Row],[age]]&lt;=55,"MIDDLE AGE",Table1[[#This Row],[age]]&gt;=56,"SENIOR")</f>
        <v>SENIOR</v>
      </c>
    </row>
    <row r="186" spans="1:20" x14ac:dyDescent="0.3">
      <c r="A186" t="s">
        <v>373</v>
      </c>
      <c r="B186" t="s">
        <v>287</v>
      </c>
      <c r="C186" t="s">
        <v>9</v>
      </c>
      <c r="D186" s="1">
        <v>45006</v>
      </c>
      <c r="E186" s="2">
        <v>0.58333333333333337</v>
      </c>
      <c r="F186" t="s">
        <v>31</v>
      </c>
      <c r="G186" t="s">
        <v>11</v>
      </c>
      <c r="H186" t="s">
        <v>98</v>
      </c>
      <c r="I186" t="s">
        <v>104</v>
      </c>
      <c r="J186" t="str">
        <f t="shared" si="2"/>
        <v>Laura Davis</v>
      </c>
      <c r="K186" t="s">
        <v>24</v>
      </c>
      <c r="L186" s="1">
        <v>26278</v>
      </c>
      <c r="M186" s="3">
        <v>54</v>
      </c>
      <c r="N186">
        <v>7060324619</v>
      </c>
      <c r="O186" t="s">
        <v>15</v>
      </c>
      <c r="P186" s="1">
        <v>44822</v>
      </c>
      <c r="Q186" t="s">
        <v>35</v>
      </c>
      <c r="R186" t="s">
        <v>288</v>
      </c>
      <c r="S186" t="s">
        <v>106</v>
      </c>
      <c r="T186" s="1" t="str" cm="1">
        <f t="array" ref="T186">_xlfn.IFS(Table1[[#This Row],[age]]&lt;=17,"CHILD",Table1[[#This Row],[age]]&lt;=35,"YOUNG ADULT",Table1[[#This Row],[age]]&lt;=55,"MIDDLE AGE",Table1[[#This Row],[age]]&gt;=56,"SENIOR")</f>
        <v>MIDDLE AGE</v>
      </c>
    </row>
    <row r="187" spans="1:20" x14ac:dyDescent="0.3">
      <c r="A187" t="s">
        <v>374</v>
      </c>
      <c r="B187" t="s">
        <v>215</v>
      </c>
      <c r="C187" t="s">
        <v>48</v>
      </c>
      <c r="D187" s="1">
        <v>45012</v>
      </c>
      <c r="E187" s="2">
        <v>0.71875</v>
      </c>
      <c r="F187" t="s">
        <v>76</v>
      </c>
      <c r="G187" t="s">
        <v>22</v>
      </c>
      <c r="H187" t="s">
        <v>98</v>
      </c>
      <c r="I187" t="s">
        <v>42</v>
      </c>
      <c r="J187" t="str">
        <f t="shared" si="2"/>
        <v>Laura Wilson</v>
      </c>
      <c r="K187" t="s">
        <v>24</v>
      </c>
      <c r="L187" s="1">
        <v>34330</v>
      </c>
      <c r="M187" s="3">
        <v>32</v>
      </c>
      <c r="N187">
        <v>8301134730</v>
      </c>
      <c r="O187" t="s">
        <v>15</v>
      </c>
      <c r="P187" s="1">
        <v>45044</v>
      </c>
      <c r="Q187" t="s">
        <v>16</v>
      </c>
      <c r="R187" t="s">
        <v>216</v>
      </c>
      <c r="S187" t="s">
        <v>217</v>
      </c>
      <c r="T187" s="1" t="str" cm="1">
        <f t="array" ref="T187">_xlfn.IFS(Table1[[#This Row],[age]]&lt;=17,"CHILD",Table1[[#This Row],[age]]&lt;=35,"YOUNG ADULT",Table1[[#This Row],[age]]&lt;=55,"MIDDLE AGE",Table1[[#This Row],[age]]&gt;=56,"SENIOR")</f>
        <v>YOUNG ADULT</v>
      </c>
    </row>
    <row r="188" spans="1:20" x14ac:dyDescent="0.3">
      <c r="A188" t="s">
        <v>375</v>
      </c>
      <c r="B188" t="s">
        <v>206</v>
      </c>
      <c r="C188" t="s">
        <v>48</v>
      </c>
      <c r="D188" s="1">
        <v>44970</v>
      </c>
      <c r="E188" s="2">
        <v>0.52083333333333337</v>
      </c>
      <c r="F188" t="s">
        <v>31</v>
      </c>
      <c r="G188" t="s">
        <v>11</v>
      </c>
      <c r="H188" t="s">
        <v>57</v>
      </c>
      <c r="I188" t="s">
        <v>23</v>
      </c>
      <c r="J188" t="str">
        <f t="shared" si="2"/>
        <v>Linda Moore</v>
      </c>
      <c r="K188" t="s">
        <v>14</v>
      </c>
      <c r="L188" s="1">
        <v>35975</v>
      </c>
      <c r="M188" s="3">
        <v>28</v>
      </c>
      <c r="N188">
        <v>8724518272</v>
      </c>
      <c r="O188" t="s">
        <v>15</v>
      </c>
      <c r="P188" s="1">
        <v>44423</v>
      </c>
      <c r="Q188" t="s">
        <v>43</v>
      </c>
      <c r="R188" t="s">
        <v>207</v>
      </c>
      <c r="S188" t="s">
        <v>208</v>
      </c>
      <c r="T188" s="1" t="str" cm="1">
        <f t="array" ref="T188">_xlfn.IFS(Table1[[#This Row],[age]]&lt;=17,"CHILD",Table1[[#This Row],[age]]&lt;=35,"YOUNG ADULT",Table1[[#This Row],[age]]&lt;=55,"MIDDLE AGE",Table1[[#This Row],[age]]&gt;=56,"SENIOR")</f>
        <v>YOUNG ADULT</v>
      </c>
    </row>
    <row r="189" spans="1:20" x14ac:dyDescent="0.3">
      <c r="A189" t="s">
        <v>376</v>
      </c>
      <c r="B189" t="s">
        <v>199</v>
      </c>
      <c r="C189" t="s">
        <v>97</v>
      </c>
      <c r="D189" s="1">
        <v>45028</v>
      </c>
      <c r="E189" s="2">
        <v>0.6875</v>
      </c>
      <c r="F189" t="s">
        <v>76</v>
      </c>
      <c r="G189" t="s">
        <v>32</v>
      </c>
      <c r="H189" t="s">
        <v>33</v>
      </c>
      <c r="I189" t="s">
        <v>13</v>
      </c>
      <c r="J189" t="str">
        <f t="shared" si="2"/>
        <v>Emily Smith</v>
      </c>
      <c r="K189" t="s">
        <v>14</v>
      </c>
      <c r="L189" s="1">
        <v>30967</v>
      </c>
      <c r="M189" s="3">
        <v>41</v>
      </c>
      <c r="N189">
        <v>8228188767</v>
      </c>
      <c r="O189" t="s">
        <v>15</v>
      </c>
      <c r="P189" s="1">
        <v>44576</v>
      </c>
      <c r="Q189" t="s">
        <v>35</v>
      </c>
      <c r="R189" t="s">
        <v>200</v>
      </c>
      <c r="S189" t="s">
        <v>201</v>
      </c>
      <c r="T189" s="1" t="str" cm="1">
        <f t="array" ref="T189">_xlfn.IFS(Table1[[#This Row],[age]]&lt;=17,"CHILD",Table1[[#This Row],[age]]&lt;=35,"YOUNG ADULT",Table1[[#This Row],[age]]&lt;=55,"MIDDLE AGE",Table1[[#This Row],[age]]&gt;=56,"SENIOR")</f>
        <v>MIDDLE AGE</v>
      </c>
    </row>
    <row r="190" spans="1:20" x14ac:dyDescent="0.3">
      <c r="A190" t="s">
        <v>377</v>
      </c>
      <c r="B190" t="s">
        <v>81</v>
      </c>
      <c r="C190" t="s">
        <v>69</v>
      </c>
      <c r="D190" s="1">
        <v>45204</v>
      </c>
      <c r="E190" s="2">
        <v>0.5625</v>
      </c>
      <c r="F190" t="s">
        <v>76</v>
      </c>
      <c r="G190" t="s">
        <v>11</v>
      </c>
      <c r="H190" t="s">
        <v>63</v>
      </c>
      <c r="I190" t="s">
        <v>42</v>
      </c>
      <c r="J190" t="str">
        <f t="shared" si="2"/>
        <v>David Wilson</v>
      </c>
      <c r="K190" t="s">
        <v>24</v>
      </c>
      <c r="L190" s="1">
        <v>22090</v>
      </c>
      <c r="M190" s="3">
        <v>66</v>
      </c>
      <c r="N190">
        <v>7734463155</v>
      </c>
      <c r="O190" t="s">
        <v>25</v>
      </c>
      <c r="P190" s="1">
        <v>44468</v>
      </c>
      <c r="Q190" t="s">
        <v>26</v>
      </c>
      <c r="R190" t="s">
        <v>83</v>
      </c>
      <c r="S190" t="s">
        <v>84</v>
      </c>
      <c r="T190" s="1" t="str" cm="1">
        <f t="array" ref="T190">_xlfn.IFS(Table1[[#This Row],[age]]&lt;=17,"CHILD",Table1[[#This Row],[age]]&lt;=35,"YOUNG ADULT",Table1[[#This Row],[age]]&lt;=55,"MIDDLE AGE",Table1[[#This Row],[age]]&gt;=56,"SENIOR")</f>
        <v>SENIOR</v>
      </c>
    </row>
    <row r="191" spans="1:20" x14ac:dyDescent="0.3">
      <c r="A191" t="s">
        <v>378</v>
      </c>
      <c r="B191" t="s">
        <v>92</v>
      </c>
      <c r="C191" t="s">
        <v>48</v>
      </c>
      <c r="D191" s="1">
        <v>45246</v>
      </c>
      <c r="E191" s="2">
        <v>0.63541666666666663</v>
      </c>
      <c r="F191" t="s">
        <v>56</v>
      </c>
      <c r="G191" t="s">
        <v>11</v>
      </c>
      <c r="H191" t="s">
        <v>63</v>
      </c>
      <c r="I191" t="s">
        <v>13</v>
      </c>
      <c r="J191" t="str">
        <f t="shared" si="2"/>
        <v>David Smith</v>
      </c>
      <c r="K191" t="s">
        <v>24</v>
      </c>
      <c r="L191" s="1">
        <v>38487</v>
      </c>
      <c r="M191" s="3">
        <v>21</v>
      </c>
      <c r="N191">
        <v>8923607677</v>
      </c>
      <c r="O191" t="s">
        <v>64</v>
      </c>
      <c r="P191" s="1">
        <v>45035</v>
      </c>
      <c r="Q191" t="s">
        <v>43</v>
      </c>
      <c r="R191" t="s">
        <v>93</v>
      </c>
      <c r="S191" t="s">
        <v>94</v>
      </c>
      <c r="T191" s="1" t="str" cm="1">
        <f t="array" ref="T191">_xlfn.IFS(Table1[[#This Row],[age]]&lt;=17,"CHILD",Table1[[#This Row],[age]]&lt;=35,"YOUNG ADULT",Table1[[#This Row],[age]]&lt;=55,"MIDDLE AGE",Table1[[#This Row],[age]]&gt;=56,"SENIOR")</f>
        <v>YOUNG ADULT</v>
      </c>
    </row>
    <row r="192" spans="1:20" x14ac:dyDescent="0.3">
      <c r="A192" t="s">
        <v>379</v>
      </c>
      <c r="B192" t="s">
        <v>114</v>
      </c>
      <c r="C192" t="s">
        <v>48</v>
      </c>
      <c r="D192" s="1">
        <v>45028</v>
      </c>
      <c r="E192" s="2">
        <v>0.66666666666666663</v>
      </c>
      <c r="F192" t="s">
        <v>31</v>
      </c>
      <c r="G192" t="s">
        <v>32</v>
      </c>
      <c r="H192" t="s">
        <v>41</v>
      </c>
      <c r="I192" t="s">
        <v>50</v>
      </c>
      <c r="J192" t="str">
        <f t="shared" si="2"/>
        <v>Robert Williams</v>
      </c>
      <c r="K192" t="s">
        <v>24</v>
      </c>
      <c r="L192" s="1">
        <v>36196</v>
      </c>
      <c r="M192" s="3">
        <v>27</v>
      </c>
      <c r="N192">
        <v>8886800195</v>
      </c>
      <c r="O192" t="s">
        <v>51</v>
      </c>
      <c r="P192" s="1">
        <v>44469</v>
      </c>
      <c r="Q192" t="s">
        <v>43</v>
      </c>
      <c r="R192" t="s">
        <v>115</v>
      </c>
      <c r="S192" t="s">
        <v>116</v>
      </c>
      <c r="T192" s="1" t="str" cm="1">
        <f t="array" ref="T192">_xlfn.IFS(Table1[[#This Row],[age]]&lt;=17,"CHILD",Table1[[#This Row],[age]]&lt;=35,"YOUNG ADULT",Table1[[#This Row],[age]]&lt;=55,"MIDDLE AGE",Table1[[#This Row],[age]]&gt;=56,"SENIOR")</f>
        <v>YOUNG ADULT</v>
      </c>
    </row>
    <row r="193" spans="1:20" x14ac:dyDescent="0.3">
      <c r="A193" t="s">
        <v>380</v>
      </c>
      <c r="B193" t="s">
        <v>366</v>
      </c>
      <c r="C193" t="s">
        <v>144</v>
      </c>
      <c r="D193" s="1">
        <v>45169</v>
      </c>
      <c r="E193" s="2">
        <v>0.59375</v>
      </c>
      <c r="F193" t="s">
        <v>31</v>
      </c>
      <c r="G193" t="s">
        <v>32</v>
      </c>
      <c r="H193" t="s">
        <v>63</v>
      </c>
      <c r="I193" t="s">
        <v>13</v>
      </c>
      <c r="J193" t="str">
        <f t="shared" si="2"/>
        <v>David Smith</v>
      </c>
      <c r="K193" t="s">
        <v>24</v>
      </c>
      <c r="L193" s="1">
        <v>33414</v>
      </c>
      <c r="M193" s="3">
        <v>35</v>
      </c>
      <c r="N193">
        <v>6347262390</v>
      </c>
      <c r="O193" t="s">
        <v>64</v>
      </c>
      <c r="P193" s="1">
        <v>44305</v>
      </c>
      <c r="Q193" t="s">
        <v>26</v>
      </c>
      <c r="R193" t="s">
        <v>367</v>
      </c>
      <c r="S193" t="s">
        <v>94</v>
      </c>
      <c r="T193" s="1" t="str" cm="1">
        <f t="array" ref="T193">_xlfn.IFS(Table1[[#This Row],[age]]&lt;=17,"CHILD",Table1[[#This Row],[age]]&lt;=35,"YOUNG ADULT",Table1[[#This Row],[age]]&lt;=55,"MIDDLE AGE",Table1[[#This Row],[age]]&gt;=56,"SENIOR")</f>
        <v>YOUNG ADULT</v>
      </c>
    </row>
    <row r="194" spans="1:20" x14ac:dyDescent="0.3">
      <c r="A194" t="s">
        <v>381</v>
      </c>
      <c r="B194" t="s">
        <v>180</v>
      </c>
      <c r="C194" t="s">
        <v>144</v>
      </c>
      <c r="D194" s="1">
        <v>45184</v>
      </c>
      <c r="E194" s="2">
        <v>0.34375</v>
      </c>
      <c r="F194" t="s">
        <v>10</v>
      </c>
      <c r="G194" t="s">
        <v>32</v>
      </c>
      <c r="H194" t="s">
        <v>181</v>
      </c>
      <c r="I194" t="s">
        <v>34</v>
      </c>
      <c r="J194" t="str">
        <f t="shared" si="2"/>
        <v>Sarah Miller</v>
      </c>
      <c r="K194" t="s">
        <v>24</v>
      </c>
      <c r="L194" s="1">
        <v>27538</v>
      </c>
      <c r="M194" s="3">
        <v>51</v>
      </c>
      <c r="N194">
        <v>8618058864</v>
      </c>
      <c r="O194" t="s">
        <v>64</v>
      </c>
      <c r="P194" s="1">
        <v>45101</v>
      </c>
      <c r="Q194" t="s">
        <v>16</v>
      </c>
      <c r="R194" t="s">
        <v>182</v>
      </c>
      <c r="S194" t="s">
        <v>183</v>
      </c>
      <c r="T194" s="1" t="str" cm="1">
        <f t="array" ref="T194">_xlfn.IFS(Table1[[#This Row],[age]]&lt;=17,"CHILD",Table1[[#This Row],[age]]&lt;=35,"YOUNG ADULT",Table1[[#This Row],[age]]&lt;=55,"MIDDLE AGE",Table1[[#This Row],[age]]&gt;=56,"SENIOR")</f>
        <v>MIDDLE AGE</v>
      </c>
    </row>
    <row r="195" spans="1:20" x14ac:dyDescent="0.3">
      <c r="A195" t="s">
        <v>382</v>
      </c>
      <c r="B195" t="s">
        <v>257</v>
      </c>
      <c r="C195" t="s">
        <v>97</v>
      </c>
      <c r="D195" s="1">
        <v>45022</v>
      </c>
      <c r="E195" s="2">
        <v>0.53125</v>
      </c>
      <c r="F195" t="s">
        <v>10</v>
      </c>
      <c r="G195" t="s">
        <v>11</v>
      </c>
      <c r="H195" t="s">
        <v>63</v>
      </c>
      <c r="I195" t="s">
        <v>104</v>
      </c>
      <c r="J195" t="str">
        <f t="shared" ref="J195:J201" si="3">CONCATENATE(H195," ",I195)</f>
        <v>David Davis</v>
      </c>
      <c r="K195" t="s">
        <v>14</v>
      </c>
      <c r="L195" s="1">
        <v>27946</v>
      </c>
      <c r="M195" s="3">
        <v>50</v>
      </c>
      <c r="N195">
        <v>7090558393</v>
      </c>
      <c r="O195" t="s">
        <v>51</v>
      </c>
      <c r="P195" s="1">
        <v>44341</v>
      </c>
      <c r="Q195" t="s">
        <v>16</v>
      </c>
      <c r="R195" t="s">
        <v>258</v>
      </c>
      <c r="S195" t="s">
        <v>259</v>
      </c>
      <c r="T195" s="1" t="str" cm="1">
        <f t="array" ref="T195">_xlfn.IFS(Table1[[#This Row],[age]]&lt;=17,"CHILD",Table1[[#This Row],[age]]&lt;=35,"YOUNG ADULT",Table1[[#This Row],[age]]&lt;=55,"MIDDLE AGE",Table1[[#This Row],[age]]&gt;=56,"SENIOR")</f>
        <v>MIDDLE AGE</v>
      </c>
    </row>
    <row r="196" spans="1:20" x14ac:dyDescent="0.3">
      <c r="A196" t="s">
        <v>383</v>
      </c>
      <c r="B196" t="s">
        <v>30</v>
      </c>
      <c r="C196" t="s">
        <v>69</v>
      </c>
      <c r="D196" s="1">
        <v>45157</v>
      </c>
      <c r="E196" s="2">
        <v>0.71875</v>
      </c>
      <c r="F196" t="s">
        <v>56</v>
      </c>
      <c r="G196" t="s">
        <v>11</v>
      </c>
      <c r="H196" t="s">
        <v>33</v>
      </c>
      <c r="I196" t="s">
        <v>34</v>
      </c>
      <c r="J196" t="str">
        <f t="shared" si="3"/>
        <v>Emily Miller</v>
      </c>
      <c r="K196" t="s">
        <v>24</v>
      </c>
      <c r="L196" s="1">
        <v>30399</v>
      </c>
      <c r="M196" s="3">
        <v>43</v>
      </c>
      <c r="N196">
        <v>8720989381</v>
      </c>
      <c r="O196" t="s">
        <v>25</v>
      </c>
      <c r="P196" s="1">
        <v>45096</v>
      </c>
      <c r="Q196" t="s">
        <v>35</v>
      </c>
      <c r="R196" t="s">
        <v>36</v>
      </c>
      <c r="S196" t="s">
        <v>37</v>
      </c>
      <c r="T196" s="1" t="str" cm="1">
        <f t="array" ref="T196">_xlfn.IFS(Table1[[#This Row],[age]]&lt;=17,"CHILD",Table1[[#This Row],[age]]&lt;=35,"YOUNG ADULT",Table1[[#This Row],[age]]&lt;=55,"MIDDLE AGE",Table1[[#This Row],[age]]&gt;=56,"SENIOR")</f>
        <v>MIDDLE AGE</v>
      </c>
    </row>
    <row r="197" spans="1:20" x14ac:dyDescent="0.3">
      <c r="A197" t="s">
        <v>384</v>
      </c>
      <c r="B197" t="s">
        <v>55</v>
      </c>
      <c r="C197" t="s">
        <v>40</v>
      </c>
      <c r="D197" s="1">
        <v>45225</v>
      </c>
      <c r="E197" s="2">
        <v>0.40625</v>
      </c>
      <c r="F197" t="s">
        <v>56</v>
      </c>
      <c r="G197" t="s">
        <v>32</v>
      </c>
      <c r="H197" t="s">
        <v>57</v>
      </c>
      <c r="I197" t="s">
        <v>34</v>
      </c>
      <c r="J197" t="str">
        <f t="shared" si="3"/>
        <v>Linda Miller</v>
      </c>
      <c r="K197" t="s">
        <v>14</v>
      </c>
      <c r="L197" s="1">
        <v>24222</v>
      </c>
      <c r="M197" s="3">
        <v>60</v>
      </c>
      <c r="N197">
        <v>7579616535</v>
      </c>
      <c r="O197" t="s">
        <v>15</v>
      </c>
      <c r="P197" s="1">
        <v>44219</v>
      </c>
      <c r="Q197" t="s">
        <v>26</v>
      </c>
      <c r="R197" t="s">
        <v>58</v>
      </c>
      <c r="S197" t="s">
        <v>59</v>
      </c>
      <c r="T197" s="1" t="str" cm="1">
        <f t="array" ref="T197">_xlfn.IFS(Table1[[#This Row],[age]]&lt;=17,"CHILD",Table1[[#This Row],[age]]&lt;=35,"YOUNG ADULT",Table1[[#This Row],[age]]&lt;=55,"MIDDLE AGE",Table1[[#This Row],[age]]&gt;=56,"SENIOR")</f>
        <v>SENIOR</v>
      </c>
    </row>
    <row r="198" spans="1:20" x14ac:dyDescent="0.3">
      <c r="A198" t="s">
        <v>385</v>
      </c>
      <c r="B198" t="s">
        <v>61</v>
      </c>
      <c r="C198" t="s">
        <v>144</v>
      </c>
      <c r="D198" s="1">
        <v>45017</v>
      </c>
      <c r="E198" s="2">
        <v>0.5625</v>
      </c>
      <c r="F198" t="s">
        <v>49</v>
      </c>
      <c r="G198" t="s">
        <v>22</v>
      </c>
      <c r="H198" t="s">
        <v>63</v>
      </c>
      <c r="I198" t="s">
        <v>50</v>
      </c>
      <c r="J198" t="str">
        <f t="shared" si="3"/>
        <v>David Williams</v>
      </c>
      <c r="K198" t="s">
        <v>14</v>
      </c>
      <c r="L198" s="1">
        <v>20244</v>
      </c>
      <c r="M198" s="3">
        <v>71</v>
      </c>
      <c r="N198">
        <v>6939585183</v>
      </c>
      <c r="O198" t="s">
        <v>64</v>
      </c>
      <c r="P198" s="1">
        <v>44735</v>
      </c>
      <c r="Q198" t="s">
        <v>16</v>
      </c>
      <c r="R198" t="s">
        <v>65</v>
      </c>
      <c r="S198" t="s">
        <v>66</v>
      </c>
      <c r="T198" s="1" t="str" cm="1">
        <f t="array" ref="T198">_xlfn.IFS(Table1[[#This Row],[age]]&lt;=17,"CHILD",Table1[[#This Row],[age]]&lt;=35,"YOUNG ADULT",Table1[[#This Row],[age]]&lt;=55,"MIDDLE AGE",Table1[[#This Row],[age]]&gt;=56,"SENIOR")</f>
        <v>SENIOR</v>
      </c>
    </row>
    <row r="199" spans="1:20" x14ac:dyDescent="0.3">
      <c r="A199" t="s">
        <v>386</v>
      </c>
      <c r="B199" t="s">
        <v>86</v>
      </c>
      <c r="C199" t="s">
        <v>40</v>
      </c>
      <c r="D199" s="1">
        <v>45061</v>
      </c>
      <c r="E199" s="2">
        <v>0.35416666666666669</v>
      </c>
      <c r="F199" t="s">
        <v>10</v>
      </c>
      <c r="G199" t="s">
        <v>22</v>
      </c>
      <c r="H199" t="s">
        <v>87</v>
      </c>
      <c r="I199" t="s">
        <v>88</v>
      </c>
      <c r="J199" t="str">
        <f t="shared" si="3"/>
        <v>John Brown</v>
      </c>
      <c r="K199" t="s">
        <v>24</v>
      </c>
      <c r="L199" s="1">
        <v>20219</v>
      </c>
      <c r="M199" s="3">
        <v>71</v>
      </c>
      <c r="N199">
        <v>6221099573</v>
      </c>
      <c r="O199" t="s">
        <v>15</v>
      </c>
      <c r="P199" s="1">
        <v>44327</v>
      </c>
      <c r="Q199" t="s">
        <v>26</v>
      </c>
      <c r="R199" t="s">
        <v>89</v>
      </c>
      <c r="S199" t="s">
        <v>90</v>
      </c>
      <c r="T199" s="1" t="str" cm="1">
        <f t="array" ref="T199">_xlfn.IFS(Table1[[#This Row],[age]]&lt;=17,"CHILD",Table1[[#This Row],[age]]&lt;=35,"YOUNG ADULT",Table1[[#This Row],[age]]&lt;=55,"MIDDLE AGE",Table1[[#This Row],[age]]&gt;=56,"SENIOR")</f>
        <v>SENIOR</v>
      </c>
    </row>
    <row r="200" spans="1:20" x14ac:dyDescent="0.3">
      <c r="A200" t="s">
        <v>387</v>
      </c>
      <c r="B200" t="s">
        <v>252</v>
      </c>
      <c r="C200" t="s">
        <v>119</v>
      </c>
      <c r="D200" s="1">
        <v>45047</v>
      </c>
      <c r="E200" s="2">
        <v>0.53125</v>
      </c>
      <c r="F200" t="s">
        <v>76</v>
      </c>
      <c r="G200" t="s">
        <v>82</v>
      </c>
      <c r="H200" t="s">
        <v>77</v>
      </c>
      <c r="I200" t="s">
        <v>99</v>
      </c>
      <c r="J200" t="str">
        <f t="shared" si="3"/>
        <v>Jane Jones</v>
      </c>
      <c r="K200" t="s">
        <v>24</v>
      </c>
      <c r="L200" s="1">
        <v>33359</v>
      </c>
      <c r="M200" s="3">
        <v>35</v>
      </c>
      <c r="N200">
        <v>6158428240</v>
      </c>
      <c r="O200" t="s">
        <v>51</v>
      </c>
      <c r="P200" s="1">
        <v>44830</v>
      </c>
      <c r="Q200" t="s">
        <v>16</v>
      </c>
      <c r="R200" t="s">
        <v>253</v>
      </c>
      <c r="S200" t="s">
        <v>254</v>
      </c>
      <c r="T200" s="1" t="str" cm="1">
        <f t="array" ref="T200">_xlfn.IFS(Table1[[#This Row],[age]]&lt;=17,"CHILD",Table1[[#This Row],[age]]&lt;=35,"YOUNG ADULT",Table1[[#This Row],[age]]&lt;=55,"MIDDLE AGE",Table1[[#This Row],[age]]&gt;=56,"SENIOR")</f>
        <v>YOUNG ADULT</v>
      </c>
    </row>
    <row r="201" spans="1:20" x14ac:dyDescent="0.3">
      <c r="A201" t="s">
        <v>388</v>
      </c>
      <c r="B201" t="s">
        <v>269</v>
      </c>
      <c r="C201" t="s">
        <v>144</v>
      </c>
      <c r="D201" s="1">
        <v>45290</v>
      </c>
      <c r="E201" s="2">
        <v>0.42708333333333331</v>
      </c>
      <c r="F201" t="s">
        <v>31</v>
      </c>
      <c r="G201" t="s">
        <v>32</v>
      </c>
      <c r="H201" t="s">
        <v>12</v>
      </c>
      <c r="I201" t="s">
        <v>165</v>
      </c>
      <c r="J201" t="str">
        <f t="shared" si="3"/>
        <v>Alex Johnson</v>
      </c>
      <c r="K201" t="s">
        <v>14</v>
      </c>
      <c r="L201" s="1">
        <v>32667</v>
      </c>
      <c r="M201" s="3">
        <v>37</v>
      </c>
      <c r="N201">
        <v>6278710077</v>
      </c>
      <c r="O201" t="s">
        <v>64</v>
      </c>
      <c r="P201" s="1">
        <v>44555</v>
      </c>
      <c r="Q201" t="s">
        <v>26</v>
      </c>
      <c r="R201" t="s">
        <v>270</v>
      </c>
      <c r="S201" t="s">
        <v>271</v>
      </c>
      <c r="T201" s="1" t="str" cm="1">
        <f t="array" ref="T201">_xlfn.IFS(Table1[[#This Row],[age]]&lt;=17,"CHILD",Table1[[#This Row],[age]]&lt;=35,"YOUNG ADULT",Table1[[#This Row],[age]]&lt;=55,"MIDDLE AGE",Table1[[#This Row],[age]]&gt;=56,"SENIOR")</f>
        <v>MIDDLE AGE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379A-47CA-47C2-9219-D64CADE826DC}">
  <dimension ref="A3:A4"/>
  <sheetViews>
    <sheetView workbookViewId="0">
      <selection activeCell="A3" sqref="A3:A4"/>
    </sheetView>
  </sheetViews>
  <sheetFormatPr defaultRowHeight="14.4" x14ac:dyDescent="0.3"/>
  <cols>
    <col min="1" max="2" width="21.6640625" bestFit="1" customWidth="1"/>
  </cols>
  <sheetData>
    <row r="3" spans="1:1" x14ac:dyDescent="0.3">
      <c r="A3" t="s">
        <v>429</v>
      </c>
    </row>
    <row r="4" spans="1:1" x14ac:dyDescent="0.3">
      <c r="A4">
        <v>200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F1349-E5FA-481A-AAE3-1F1C39B2624A}">
  <sheetPr>
    <tabColor theme="6" tint="0.39997558519241921"/>
  </sheetPr>
  <dimension ref="A1:Y31"/>
  <sheetViews>
    <sheetView zoomScale="107" workbookViewId="0">
      <selection activeCell="A3" sqref="A3:Y3"/>
    </sheetView>
  </sheetViews>
  <sheetFormatPr defaultRowHeight="14.4" x14ac:dyDescent="0.3"/>
  <sheetData>
    <row r="1" spans="1:25" ht="23.4" x14ac:dyDescent="0.45">
      <c r="A1" s="21" t="s">
        <v>405</v>
      </c>
      <c r="B1" s="21"/>
      <c r="C1" s="21"/>
      <c r="D1" s="21"/>
      <c r="E1" s="21"/>
      <c r="F1" s="21"/>
      <c r="G1" s="21"/>
      <c r="H1" s="21"/>
      <c r="I1" s="21"/>
      <c r="J1" s="21"/>
      <c r="K1" s="21"/>
      <c r="L1" s="21"/>
      <c r="M1" s="21"/>
      <c r="N1" s="21"/>
      <c r="O1" s="21"/>
      <c r="P1" s="21"/>
      <c r="Q1" s="21"/>
      <c r="R1" s="21"/>
      <c r="S1" s="21"/>
      <c r="T1" s="21"/>
      <c r="U1" s="21"/>
      <c r="V1" s="21"/>
      <c r="W1" s="21"/>
      <c r="X1" s="21"/>
      <c r="Y1" s="21"/>
    </row>
    <row r="2" spans="1:25" x14ac:dyDescent="0.3">
      <c r="A2" s="20" t="s">
        <v>408</v>
      </c>
      <c r="B2" s="20"/>
      <c r="C2" s="20"/>
      <c r="D2" s="20"/>
      <c r="E2" s="20"/>
      <c r="F2" s="20"/>
      <c r="G2" s="20"/>
      <c r="H2" s="20"/>
      <c r="I2" s="20"/>
      <c r="J2" s="20"/>
      <c r="K2" s="20"/>
      <c r="L2" s="20"/>
      <c r="M2" s="20"/>
      <c r="N2" s="20"/>
      <c r="O2" s="20"/>
      <c r="P2" s="20"/>
      <c r="Q2" s="20"/>
      <c r="R2" s="20"/>
      <c r="S2" s="20"/>
      <c r="T2" s="20"/>
      <c r="U2" s="20"/>
      <c r="V2" s="20"/>
      <c r="W2" s="20"/>
      <c r="X2" s="20"/>
      <c r="Y2" s="20"/>
    </row>
    <row r="3" spans="1:25" x14ac:dyDescent="0.3">
      <c r="A3" s="20" t="s">
        <v>409</v>
      </c>
      <c r="B3" s="20"/>
      <c r="C3" s="20"/>
      <c r="D3" s="20"/>
      <c r="E3" s="20"/>
      <c r="F3" s="20"/>
      <c r="G3" s="20"/>
      <c r="H3" s="20"/>
      <c r="I3" s="20"/>
      <c r="J3" s="20"/>
      <c r="K3" s="20"/>
      <c r="L3" s="20"/>
      <c r="M3" s="20"/>
      <c r="N3" s="20"/>
      <c r="O3" s="20"/>
      <c r="P3" s="20"/>
      <c r="Q3" s="20"/>
      <c r="R3" s="20"/>
      <c r="S3" s="20"/>
      <c r="T3" s="20"/>
      <c r="U3" s="20"/>
      <c r="V3" s="20"/>
      <c r="W3" s="20"/>
      <c r="X3" s="20"/>
      <c r="Y3" s="20"/>
    </row>
    <row r="4" spans="1:25" x14ac:dyDescent="0.3">
      <c r="A4" s="20" t="s">
        <v>410</v>
      </c>
      <c r="B4" s="20"/>
      <c r="C4" s="20"/>
      <c r="D4" s="20"/>
      <c r="E4" s="20"/>
      <c r="F4" s="20"/>
      <c r="G4" s="20"/>
      <c r="H4" s="20"/>
      <c r="I4" s="20"/>
      <c r="J4" s="20"/>
      <c r="K4" s="20"/>
      <c r="L4" s="20"/>
      <c r="M4" s="20"/>
      <c r="N4" s="20"/>
      <c r="O4" s="20"/>
      <c r="P4" s="20"/>
      <c r="Q4" s="20"/>
      <c r="R4" s="20"/>
      <c r="S4" s="20"/>
      <c r="T4" s="20"/>
      <c r="U4" s="20"/>
      <c r="V4" s="20"/>
      <c r="W4" s="20"/>
      <c r="X4" s="20"/>
      <c r="Y4" s="20"/>
    </row>
    <row r="5" spans="1:25" x14ac:dyDescent="0.3">
      <c r="A5" s="20" t="s">
        <v>411</v>
      </c>
      <c r="B5" s="20"/>
      <c r="C5" s="20"/>
      <c r="D5" s="20"/>
      <c r="E5" s="20"/>
      <c r="F5" s="20"/>
      <c r="G5" s="20"/>
      <c r="H5" s="20"/>
      <c r="I5" s="20"/>
      <c r="J5" s="20"/>
      <c r="K5" s="20"/>
      <c r="L5" s="20"/>
      <c r="M5" s="20"/>
      <c r="N5" s="20"/>
      <c r="O5" s="20"/>
      <c r="P5" s="20"/>
      <c r="Q5" s="20"/>
      <c r="R5" s="20"/>
      <c r="S5" s="20"/>
      <c r="T5" s="20"/>
      <c r="U5" s="20"/>
      <c r="V5" s="20"/>
      <c r="W5" s="20"/>
      <c r="X5" s="20"/>
      <c r="Y5" s="20"/>
    </row>
    <row r="6" spans="1:25" x14ac:dyDescent="0.3">
      <c r="A6" s="20" t="s">
        <v>412</v>
      </c>
      <c r="B6" s="20"/>
      <c r="C6" s="20"/>
      <c r="D6" s="20"/>
      <c r="E6" s="20"/>
      <c r="F6" s="20"/>
      <c r="G6" s="20"/>
      <c r="H6" s="20"/>
      <c r="I6" s="20"/>
      <c r="J6" s="20"/>
      <c r="K6" s="20"/>
      <c r="L6" s="20"/>
      <c r="M6" s="20"/>
      <c r="N6" s="20"/>
      <c r="O6" s="20"/>
      <c r="P6" s="20"/>
      <c r="Q6" s="20"/>
      <c r="R6" s="20"/>
      <c r="S6" s="20"/>
      <c r="T6" s="20"/>
      <c r="U6" s="20"/>
      <c r="V6" s="20"/>
      <c r="W6" s="20"/>
      <c r="X6" s="20"/>
      <c r="Y6" s="20"/>
    </row>
    <row r="7" spans="1:25" x14ac:dyDescent="0.3">
      <c r="A7" s="20" t="s">
        <v>413</v>
      </c>
      <c r="B7" s="20"/>
      <c r="C7" s="20"/>
      <c r="D7" s="20"/>
      <c r="E7" s="20"/>
      <c r="F7" s="20"/>
      <c r="G7" s="20"/>
      <c r="H7" s="20"/>
      <c r="I7" s="20"/>
      <c r="J7" s="20"/>
      <c r="K7" s="20"/>
      <c r="L7" s="20"/>
      <c r="M7" s="20"/>
      <c r="N7" s="20"/>
      <c r="O7" s="20"/>
      <c r="P7" s="20"/>
      <c r="Q7" s="20"/>
      <c r="R7" s="20"/>
      <c r="S7" s="20"/>
      <c r="T7" s="20"/>
      <c r="U7" s="20"/>
      <c r="V7" s="20"/>
      <c r="W7" s="20"/>
      <c r="X7" s="20"/>
      <c r="Y7" s="20"/>
    </row>
    <row r="8" spans="1:25" x14ac:dyDescent="0.3">
      <c r="A8" s="20" t="s">
        <v>480</v>
      </c>
      <c r="B8" s="20"/>
      <c r="C8" s="20"/>
      <c r="D8" s="20"/>
      <c r="E8" s="20"/>
      <c r="F8" s="20"/>
      <c r="G8" s="20"/>
      <c r="H8" s="20"/>
      <c r="I8" s="20"/>
      <c r="J8" s="20"/>
      <c r="K8" s="20"/>
      <c r="L8" s="20"/>
      <c r="M8" s="20"/>
      <c r="N8" s="20"/>
      <c r="O8" s="20"/>
      <c r="P8" s="20"/>
      <c r="Q8" s="20"/>
      <c r="R8" s="20"/>
      <c r="S8" s="20"/>
      <c r="T8" s="20"/>
      <c r="U8" s="20"/>
      <c r="V8" s="20"/>
      <c r="W8" s="20"/>
      <c r="X8" s="20"/>
      <c r="Y8" s="20"/>
    </row>
    <row r="9" spans="1:25" x14ac:dyDescent="0.3">
      <c r="A9" s="20" t="s">
        <v>481</v>
      </c>
      <c r="B9" s="20"/>
      <c r="C9" s="20"/>
      <c r="D9" s="20"/>
      <c r="E9" s="20"/>
      <c r="F9" s="20"/>
      <c r="G9" s="20"/>
      <c r="H9" s="20"/>
      <c r="I9" s="20"/>
      <c r="J9" s="20"/>
      <c r="K9" s="20"/>
      <c r="L9" s="20"/>
      <c r="M9" s="20"/>
      <c r="N9" s="20"/>
      <c r="O9" s="20"/>
      <c r="P9" s="20"/>
      <c r="Q9" s="20"/>
      <c r="R9" s="20"/>
      <c r="S9" s="20"/>
      <c r="T9" s="20"/>
      <c r="U9" s="20"/>
      <c r="V9" s="20"/>
      <c r="W9" s="20"/>
      <c r="X9" s="20"/>
      <c r="Y9" s="20"/>
    </row>
    <row r="10" spans="1:25"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sheetData>
  <mergeCells count="31">
    <mergeCell ref="A29:Y29"/>
    <mergeCell ref="A30:Y30"/>
    <mergeCell ref="A31:Y31"/>
    <mergeCell ref="A17:Y17"/>
    <mergeCell ref="A18:Y18"/>
    <mergeCell ref="A19:Y19"/>
    <mergeCell ref="A20:Y20"/>
    <mergeCell ref="A21:Y21"/>
    <mergeCell ref="A22:Y22"/>
    <mergeCell ref="A28:Y28"/>
    <mergeCell ref="A1:Y1"/>
    <mergeCell ref="A2:Y2"/>
    <mergeCell ref="A3:Y3"/>
    <mergeCell ref="A4:Y4"/>
    <mergeCell ref="A5:Y5"/>
    <mergeCell ref="A6:Y6"/>
    <mergeCell ref="A7:Y7"/>
    <mergeCell ref="A25:Y25"/>
    <mergeCell ref="A26:Y26"/>
    <mergeCell ref="A27:Y27"/>
    <mergeCell ref="A23:Y23"/>
    <mergeCell ref="A24:Y24"/>
    <mergeCell ref="A13:Y13"/>
    <mergeCell ref="A14:Y14"/>
    <mergeCell ref="A15:Y15"/>
    <mergeCell ref="A16:Y16"/>
    <mergeCell ref="A9:Y9"/>
    <mergeCell ref="A10:Y10"/>
    <mergeCell ref="A11:Y11"/>
    <mergeCell ref="A12:Y12"/>
    <mergeCell ref="A8:Y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8C45-DB54-474B-B805-3BBB4CBC17AE}">
  <sheetPr>
    <tabColor theme="9" tint="0.59999389629810485"/>
  </sheetPr>
  <dimension ref="A1:AF60"/>
  <sheetViews>
    <sheetView zoomScale="72" workbookViewId="0">
      <selection activeCell="W39" sqref="W39"/>
    </sheetView>
  </sheetViews>
  <sheetFormatPr defaultRowHeight="14.4" x14ac:dyDescent="0.3"/>
  <sheetData>
    <row r="1" spans="1:32" ht="14.4" customHeight="1" x14ac:dyDescent="0.3">
      <c r="A1" s="19" t="s">
        <v>450</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row>
    <row r="2" spans="1:32" ht="14.4" customHeight="1" x14ac:dyDescent="0.3">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row>
    <row r="3" spans="1:32" ht="14.4" customHeight="1" x14ac:dyDescent="0.3">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row>
    <row r="4" spans="1:32" ht="14.4" customHeight="1" x14ac:dyDescent="0.3">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row>
    <row r="5" spans="1:32" ht="14.4" customHeight="1" x14ac:dyDescent="0.3">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row>
    <row r="6" spans="1:32" ht="14.4" customHeight="1" x14ac:dyDescent="0.3">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row>
    <row r="7" spans="1:32"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3"/>
      <c r="AE51" s="13"/>
      <c r="AF51" s="13"/>
    </row>
    <row r="52" spans="1:32"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3"/>
      <c r="AE52" s="13"/>
      <c r="AF52" s="13"/>
    </row>
    <row r="53" spans="1:32"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3"/>
      <c r="AE53" s="13"/>
      <c r="AF53" s="13"/>
    </row>
    <row r="54" spans="1:32"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3"/>
      <c r="AE54" s="13"/>
      <c r="AF54" s="13"/>
    </row>
    <row r="55" spans="1:32"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3"/>
      <c r="AE55" s="13"/>
      <c r="AF55" s="13"/>
    </row>
    <row r="56" spans="1:32"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3"/>
      <c r="AE56" s="13"/>
      <c r="AF56" s="13"/>
    </row>
    <row r="57" spans="1:32"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3"/>
      <c r="AE57" s="13"/>
      <c r="AF57" s="13"/>
    </row>
    <row r="58" spans="1:32"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3"/>
      <c r="AE58" s="13"/>
      <c r="AF58" s="13"/>
    </row>
    <row r="59" spans="1:32"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3"/>
      <c r="AE59" s="13"/>
      <c r="AF59" s="13"/>
    </row>
    <row r="60" spans="1:32"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3"/>
      <c r="AE60" s="13"/>
      <c r="AF60" s="13"/>
    </row>
  </sheetData>
  <mergeCells count="11">
    <mergeCell ref="A60:AC60"/>
    <mergeCell ref="A1:AF6"/>
    <mergeCell ref="A56:AC56"/>
    <mergeCell ref="A57:AC57"/>
    <mergeCell ref="A58:AC58"/>
    <mergeCell ref="A59:AC59"/>
    <mergeCell ref="A55:AC55"/>
    <mergeCell ref="A51:AC51"/>
    <mergeCell ref="A52:AC52"/>
    <mergeCell ref="A53:AC53"/>
    <mergeCell ref="A54:AC5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4E443-AD72-43FE-9A4E-B22B22739E63}">
  <sheetPr>
    <tabColor theme="6" tint="0.59999389629810485"/>
  </sheetPr>
  <dimension ref="A1:L56"/>
  <sheetViews>
    <sheetView workbookViewId="0">
      <selection activeCell="K6" sqref="K6"/>
    </sheetView>
  </sheetViews>
  <sheetFormatPr defaultRowHeight="14.4" x14ac:dyDescent="0.3"/>
  <cols>
    <col min="2" max="2" width="12.44140625" bestFit="1" customWidth="1"/>
    <col min="3" max="3" width="21.6640625" bestFit="1" customWidth="1"/>
    <col min="11" max="11" width="9.77734375" bestFit="1" customWidth="1"/>
  </cols>
  <sheetData>
    <row r="1" spans="1:12" x14ac:dyDescent="0.3">
      <c r="B1" s="23" t="s">
        <v>447</v>
      </c>
      <c r="C1" s="23"/>
      <c r="E1" s="24" t="s">
        <v>448</v>
      </c>
      <c r="F1" s="24"/>
      <c r="G1" s="24"/>
      <c r="H1" s="24"/>
      <c r="I1" s="24"/>
      <c r="J1" s="24"/>
      <c r="K1" s="24"/>
    </row>
    <row r="2" spans="1:12" x14ac:dyDescent="0.3">
      <c r="E2" s="22" t="s">
        <v>421</v>
      </c>
      <c r="F2" s="22"/>
      <c r="G2" s="22"/>
      <c r="H2" s="22"/>
      <c r="I2" s="22"/>
      <c r="J2" s="22"/>
      <c r="K2">
        <f>COUNTA(Table1[appointment_id])</f>
        <v>200</v>
      </c>
    </row>
    <row r="3" spans="1:12" x14ac:dyDescent="0.3">
      <c r="A3" s="5">
        <v>1</v>
      </c>
      <c r="B3" t="s">
        <v>429</v>
      </c>
      <c r="E3" s="22" t="s">
        <v>422</v>
      </c>
      <c r="F3" s="22"/>
      <c r="G3" s="22"/>
      <c r="H3" s="22"/>
      <c r="I3" s="22"/>
      <c r="J3" s="22"/>
      <c r="K3">
        <f>COUNTIF(Table1[status],"Completed")</f>
        <v>46</v>
      </c>
    </row>
    <row r="4" spans="1:12" x14ac:dyDescent="0.3">
      <c r="B4">
        <v>200</v>
      </c>
      <c r="E4" s="22" t="s">
        <v>423</v>
      </c>
      <c r="F4" s="22"/>
      <c r="G4" s="22"/>
      <c r="H4" s="22"/>
      <c r="I4" s="22"/>
      <c r="J4" s="22"/>
      <c r="K4">
        <f>AVERAGE('CLEANED DATA'!M162:M201)</f>
        <v>45.75</v>
      </c>
    </row>
    <row r="5" spans="1:12" x14ac:dyDescent="0.3">
      <c r="E5" s="22" t="s">
        <v>424</v>
      </c>
      <c r="F5" s="22"/>
      <c r="G5" s="22"/>
      <c r="H5" s="22"/>
      <c r="I5" s="22"/>
      <c r="J5" s="22"/>
      <c r="K5" s="3" t="s">
        <v>482</v>
      </c>
    </row>
    <row r="6" spans="1:12" x14ac:dyDescent="0.3">
      <c r="A6" s="5">
        <v>2</v>
      </c>
      <c r="B6" s="9" t="s">
        <v>427</v>
      </c>
      <c r="C6" t="s">
        <v>429</v>
      </c>
      <c r="E6" s="22" t="s">
        <v>425</v>
      </c>
      <c r="F6" s="22"/>
      <c r="G6" s="22"/>
      <c r="H6" s="22"/>
      <c r="I6" s="22"/>
      <c r="J6" s="22"/>
      <c r="K6" s="12" t="s">
        <v>32</v>
      </c>
      <c r="L6" s="6">
        <f>COUNTIF('CLEANED DATA'!G162:G201,K6)</f>
        <v>15</v>
      </c>
    </row>
    <row r="7" spans="1:12" x14ac:dyDescent="0.3">
      <c r="B7" s="4" t="s">
        <v>32</v>
      </c>
      <c r="C7">
        <v>51</v>
      </c>
      <c r="K7" s="12" t="s">
        <v>82</v>
      </c>
      <c r="L7" s="6">
        <f>COUNTIF('CLEANED DATA'!G163:G202,K7)</f>
        <v>7</v>
      </c>
    </row>
    <row r="8" spans="1:12" x14ac:dyDescent="0.3">
      <c r="B8" s="4" t="s">
        <v>82</v>
      </c>
      <c r="C8">
        <v>46</v>
      </c>
      <c r="K8" s="12" t="s">
        <v>22</v>
      </c>
      <c r="L8" s="6">
        <f>COUNTIF('CLEANED DATA'!G164:G203,K8)</f>
        <v>7</v>
      </c>
    </row>
    <row r="9" spans="1:12" x14ac:dyDescent="0.3">
      <c r="B9" s="4" t="s">
        <v>22</v>
      </c>
      <c r="C9">
        <v>52</v>
      </c>
      <c r="K9" s="12" t="s">
        <v>11</v>
      </c>
      <c r="L9" s="6">
        <f>COUNTIF('CLEANED DATA'!G162:G201,K9)</f>
        <v>10</v>
      </c>
    </row>
    <row r="10" spans="1:12" x14ac:dyDescent="0.3">
      <c r="B10" s="4" t="s">
        <v>11</v>
      </c>
      <c r="C10">
        <v>51</v>
      </c>
      <c r="E10" s="22" t="s">
        <v>449</v>
      </c>
      <c r="F10" s="22"/>
      <c r="G10" s="22"/>
      <c r="H10" s="22"/>
      <c r="I10" s="22"/>
      <c r="J10" s="22"/>
      <c r="K10" s="3">
        <f>MIN('CLEANED DATA'!M162:M201)</f>
        <v>21</v>
      </c>
    </row>
    <row r="11" spans="1:12" x14ac:dyDescent="0.3">
      <c r="B11" s="4" t="s">
        <v>428</v>
      </c>
      <c r="C11">
        <v>200</v>
      </c>
    </row>
    <row r="13" spans="1:12" x14ac:dyDescent="0.3">
      <c r="A13" s="5">
        <v>3</v>
      </c>
      <c r="B13" s="9" t="s">
        <v>427</v>
      </c>
      <c r="C13" t="s">
        <v>429</v>
      </c>
    </row>
    <row r="14" spans="1:12" x14ac:dyDescent="0.3">
      <c r="B14" s="4" t="s">
        <v>56</v>
      </c>
      <c r="C14">
        <v>45</v>
      </c>
    </row>
    <row r="15" spans="1:12" x14ac:dyDescent="0.3">
      <c r="B15" s="4" t="s">
        <v>31</v>
      </c>
      <c r="C15">
        <v>43</v>
      </c>
    </row>
    <row r="16" spans="1:12" x14ac:dyDescent="0.3">
      <c r="B16" s="4" t="s">
        <v>49</v>
      </c>
      <c r="C16">
        <v>29</v>
      </c>
    </row>
    <row r="17" spans="1:3" x14ac:dyDescent="0.3">
      <c r="B17" s="4" t="s">
        <v>76</v>
      </c>
      <c r="C17">
        <v>41</v>
      </c>
    </row>
    <row r="18" spans="1:3" x14ac:dyDescent="0.3">
      <c r="B18" s="4" t="s">
        <v>10</v>
      </c>
      <c r="C18">
        <v>42</v>
      </c>
    </row>
    <row r="19" spans="1:3" x14ac:dyDescent="0.3">
      <c r="B19" s="4" t="s">
        <v>428</v>
      </c>
      <c r="C19">
        <v>200</v>
      </c>
    </row>
    <row r="21" spans="1:3" x14ac:dyDescent="0.3">
      <c r="A21" s="5">
        <v>4</v>
      </c>
      <c r="B21" s="9" t="s">
        <v>427</v>
      </c>
      <c r="C21" t="s">
        <v>429</v>
      </c>
    </row>
    <row r="22" spans="1:3" x14ac:dyDescent="0.3">
      <c r="B22" s="4" t="s">
        <v>119</v>
      </c>
      <c r="C22">
        <v>25</v>
      </c>
    </row>
    <row r="23" spans="1:3" x14ac:dyDescent="0.3">
      <c r="B23" s="4" t="s">
        <v>97</v>
      </c>
      <c r="C23">
        <v>21</v>
      </c>
    </row>
    <row r="24" spans="1:3" x14ac:dyDescent="0.3">
      <c r="B24" s="4" t="s">
        <v>48</v>
      </c>
      <c r="C24">
        <v>22</v>
      </c>
    </row>
    <row r="25" spans="1:3" x14ac:dyDescent="0.3">
      <c r="B25" s="4" t="s">
        <v>21</v>
      </c>
      <c r="C25">
        <v>14</v>
      </c>
    </row>
    <row r="26" spans="1:3" x14ac:dyDescent="0.3">
      <c r="B26" s="4" t="s">
        <v>144</v>
      </c>
      <c r="C26">
        <v>29</v>
      </c>
    </row>
    <row r="27" spans="1:3" x14ac:dyDescent="0.3">
      <c r="B27" s="4" t="s">
        <v>40</v>
      </c>
      <c r="C27">
        <v>24</v>
      </c>
    </row>
    <row r="28" spans="1:3" x14ac:dyDescent="0.3">
      <c r="B28" s="4" t="s">
        <v>62</v>
      </c>
      <c r="C28">
        <v>13</v>
      </c>
    </row>
    <row r="29" spans="1:3" x14ac:dyDescent="0.3">
      <c r="B29" s="4" t="s">
        <v>112</v>
      </c>
      <c r="C29">
        <v>16</v>
      </c>
    </row>
    <row r="30" spans="1:3" x14ac:dyDescent="0.3">
      <c r="B30" s="4" t="s">
        <v>9</v>
      </c>
      <c r="C30">
        <v>17</v>
      </c>
    </row>
    <row r="31" spans="1:3" x14ac:dyDescent="0.3">
      <c r="B31" s="4" t="s">
        <v>69</v>
      </c>
      <c r="C31">
        <v>19</v>
      </c>
    </row>
    <row r="32" spans="1:3" x14ac:dyDescent="0.3">
      <c r="B32" s="4" t="s">
        <v>428</v>
      </c>
      <c r="C32">
        <v>200</v>
      </c>
    </row>
    <row r="34" spans="1:3" x14ac:dyDescent="0.3">
      <c r="A34" s="5">
        <v>5</v>
      </c>
      <c r="B34" s="9" t="s">
        <v>427</v>
      </c>
      <c r="C34" t="s">
        <v>429</v>
      </c>
    </row>
    <row r="35" spans="1:3" x14ac:dyDescent="0.3">
      <c r="B35" s="4" t="s">
        <v>431</v>
      </c>
      <c r="C35" s="32">
        <v>20</v>
      </c>
    </row>
    <row r="36" spans="1:3" x14ac:dyDescent="0.3">
      <c r="B36" s="4" t="s">
        <v>432</v>
      </c>
      <c r="C36" s="32">
        <v>14</v>
      </c>
    </row>
    <row r="37" spans="1:3" x14ac:dyDescent="0.3">
      <c r="B37" s="4" t="s">
        <v>433</v>
      </c>
      <c r="C37" s="32">
        <v>19</v>
      </c>
    </row>
    <row r="38" spans="1:3" x14ac:dyDescent="0.3">
      <c r="B38" s="4" t="s">
        <v>434</v>
      </c>
      <c r="C38" s="32">
        <v>25</v>
      </c>
    </row>
    <row r="39" spans="1:3" x14ac:dyDescent="0.3">
      <c r="B39" s="4" t="s">
        <v>435</v>
      </c>
      <c r="C39" s="32">
        <v>19</v>
      </c>
    </row>
    <row r="40" spans="1:3" x14ac:dyDescent="0.3">
      <c r="B40" s="4" t="s">
        <v>436</v>
      </c>
      <c r="C40" s="32">
        <v>18</v>
      </c>
    </row>
    <row r="41" spans="1:3" x14ac:dyDescent="0.3">
      <c r="B41" s="4" t="s">
        <v>437</v>
      </c>
      <c r="C41" s="32">
        <v>16</v>
      </c>
    </row>
    <row r="42" spans="1:3" x14ac:dyDescent="0.3">
      <c r="B42" s="4" t="s">
        <v>438</v>
      </c>
      <c r="C42" s="32">
        <v>15</v>
      </c>
    </row>
    <row r="43" spans="1:3" x14ac:dyDescent="0.3">
      <c r="B43" s="4" t="s">
        <v>439</v>
      </c>
      <c r="C43" s="32">
        <v>11</v>
      </c>
    </row>
    <row r="44" spans="1:3" x14ac:dyDescent="0.3">
      <c r="B44" s="4" t="s">
        <v>440</v>
      </c>
      <c r="C44" s="32">
        <v>14</v>
      </c>
    </row>
    <row r="45" spans="1:3" x14ac:dyDescent="0.3">
      <c r="B45" s="4" t="s">
        <v>441</v>
      </c>
      <c r="C45" s="32">
        <v>17</v>
      </c>
    </row>
    <row r="46" spans="1:3" x14ac:dyDescent="0.3">
      <c r="B46" s="4" t="s">
        <v>442</v>
      </c>
      <c r="C46" s="32">
        <v>12</v>
      </c>
    </row>
    <row r="47" spans="1:3" x14ac:dyDescent="0.3">
      <c r="B47" s="4" t="s">
        <v>428</v>
      </c>
      <c r="C47" s="32">
        <v>200</v>
      </c>
    </row>
    <row r="49" spans="1:3" x14ac:dyDescent="0.3">
      <c r="A49" s="5">
        <v>6</v>
      </c>
    </row>
    <row r="51" spans="1:3" x14ac:dyDescent="0.3">
      <c r="A51" s="5">
        <v>7</v>
      </c>
      <c r="B51" s="9" t="s">
        <v>427</v>
      </c>
      <c r="C51" t="s">
        <v>446</v>
      </c>
    </row>
    <row r="52" spans="1:3" x14ac:dyDescent="0.3">
      <c r="B52" s="4" t="s">
        <v>43</v>
      </c>
      <c r="C52" s="11">
        <v>0.11</v>
      </c>
    </row>
    <row r="53" spans="1:3" x14ac:dyDescent="0.3">
      <c r="B53" s="4" t="s">
        <v>26</v>
      </c>
      <c r="C53" s="11">
        <v>0.42</v>
      </c>
    </row>
    <row r="54" spans="1:3" x14ac:dyDescent="0.3">
      <c r="B54" s="4" t="s">
        <v>35</v>
      </c>
      <c r="C54" s="11">
        <v>0.18</v>
      </c>
    </row>
    <row r="55" spans="1:3" x14ac:dyDescent="0.3">
      <c r="B55" s="4" t="s">
        <v>16</v>
      </c>
      <c r="C55" s="11">
        <v>0.28999999999999998</v>
      </c>
    </row>
    <row r="56" spans="1:3" x14ac:dyDescent="0.3">
      <c r="B56" s="4" t="s">
        <v>428</v>
      </c>
      <c r="C56" s="11">
        <v>1</v>
      </c>
    </row>
  </sheetData>
  <mergeCells count="8">
    <mergeCell ref="E10:J10"/>
    <mergeCell ref="B1:C1"/>
    <mergeCell ref="E1:K1"/>
    <mergeCell ref="E2:J2"/>
    <mergeCell ref="E3:J3"/>
    <mergeCell ref="E4:J4"/>
    <mergeCell ref="E5:J5"/>
    <mergeCell ref="E6:J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3835-0104-4B03-BE0A-606ECA98752D}">
  <sheetPr>
    <tabColor theme="9" tint="0.79998168889431442"/>
  </sheetPr>
  <dimension ref="A1:AI110"/>
  <sheetViews>
    <sheetView zoomScale="68" zoomScaleNormal="55" workbookViewId="0">
      <selection activeCell="AA9" sqref="AA9"/>
    </sheetView>
  </sheetViews>
  <sheetFormatPr defaultRowHeight="14.4" x14ac:dyDescent="0.3"/>
  <sheetData>
    <row r="1" spans="1:35" ht="14.4" customHeight="1" x14ac:dyDescent="0.3">
      <c r="A1" s="26" t="s">
        <v>430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row>
    <row r="2" spans="1:35" ht="14.4" customHeight="1"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row>
    <row r="3" spans="1:35" ht="14.4" customHeight="1"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row>
    <row r="4" spans="1:35" ht="14.4" customHeight="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row>
    <row r="5" spans="1:35" ht="14.4" customHeight="1"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row>
    <row r="6" spans="1:35" ht="14.4" customHeight="1"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row>
    <row r="7" spans="1:35"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row>
    <row r="8" spans="1:35"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row>
    <row r="9" spans="1:35"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row>
    <row r="10" spans="1:35"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row>
    <row r="11" spans="1:35"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row>
    <row r="12" spans="1:35"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row>
    <row r="13" spans="1:35"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row>
    <row r="14" spans="1:35"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row>
    <row r="15" spans="1:35"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row>
    <row r="17" spans="1:35"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row>
    <row r="19" spans="1:35"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row>
    <row r="20" spans="1:35"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row>
    <row r="21" spans="1:35"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row>
    <row r="22" spans="1:35"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row>
    <row r="23" spans="1:35"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row>
    <row r="24" spans="1:35"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row>
    <row r="25" spans="1:35"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row>
    <row r="26" spans="1:35"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row>
    <row r="27" spans="1:35"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row>
    <row r="28" spans="1:35"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row>
    <row r="29" spans="1:35"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row>
    <row r="30" spans="1:35"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row>
    <row r="31" spans="1:35"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row>
    <row r="32" spans="1:35"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row>
    <row r="33" spans="1:35"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row>
    <row r="34" spans="1:35"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row>
    <row r="35" spans="1:35"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row>
    <row r="37" spans="1:35"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row>
    <row r="38" spans="1:35"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row>
    <row r="39" spans="1:35"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row>
    <row r="40" spans="1:35"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row>
    <row r="41" spans="1:35"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row>
    <row r="42" spans="1:35"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row>
    <row r="44" spans="1:35"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row>
    <row r="45" spans="1:35"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row>
    <row r="46" spans="1:35"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row>
    <row r="47" spans="1:35"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row>
    <row r="48" spans="1:35"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row>
    <row r="49" spans="1:35"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row>
    <row r="50" spans="1:35"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row>
    <row r="51" spans="1:35"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10"/>
      <c r="AE51" s="10"/>
      <c r="AF51" s="10"/>
      <c r="AG51" s="10"/>
      <c r="AH51" s="10"/>
      <c r="AI51" s="10"/>
    </row>
    <row r="52" spans="1:35"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10"/>
      <c r="AE52" s="10"/>
      <c r="AF52" s="10"/>
      <c r="AG52" s="10"/>
      <c r="AH52" s="10"/>
      <c r="AI52" s="10"/>
    </row>
    <row r="53" spans="1:35"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10"/>
      <c r="AE53" s="10"/>
      <c r="AF53" s="10"/>
      <c r="AG53" s="10"/>
      <c r="AH53" s="10"/>
      <c r="AI53" s="10"/>
    </row>
    <row r="54" spans="1:35"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10"/>
      <c r="AE54" s="10"/>
      <c r="AF54" s="10"/>
      <c r="AG54" s="10"/>
      <c r="AH54" s="10"/>
      <c r="AI54" s="10"/>
    </row>
    <row r="55" spans="1:35"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10"/>
      <c r="AE55" s="10"/>
      <c r="AF55" s="10"/>
      <c r="AG55" s="10"/>
      <c r="AH55" s="10"/>
      <c r="AI55" s="10"/>
    </row>
    <row r="56" spans="1:35"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10"/>
      <c r="AE56" s="10"/>
      <c r="AF56" s="10"/>
      <c r="AG56" s="10"/>
      <c r="AH56" s="10"/>
      <c r="AI56" s="10"/>
    </row>
    <row r="57" spans="1:35"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10"/>
      <c r="AE57" s="10"/>
      <c r="AF57" s="10"/>
      <c r="AG57" s="10"/>
      <c r="AH57" s="10"/>
      <c r="AI57" s="10"/>
    </row>
    <row r="58" spans="1:35"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10"/>
      <c r="AE58" s="10"/>
      <c r="AF58" s="10"/>
      <c r="AG58" s="10"/>
      <c r="AH58" s="10"/>
      <c r="AI58" s="10"/>
    </row>
    <row r="59" spans="1:35"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10"/>
      <c r="AE59" s="10"/>
      <c r="AF59" s="10"/>
      <c r="AG59" s="10"/>
      <c r="AH59" s="10"/>
      <c r="AI59" s="10"/>
    </row>
    <row r="60" spans="1:35"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10"/>
      <c r="AE60" s="10"/>
      <c r="AF60" s="10"/>
      <c r="AG60" s="10"/>
      <c r="AH60" s="10"/>
      <c r="AI60" s="10"/>
    </row>
    <row r="61" spans="1:35"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row>
    <row r="62" spans="1:35"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row>
    <row r="63" spans="1:35"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row>
    <row r="64" spans="1:35"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row>
    <row r="65" spans="1:35"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row>
    <row r="66" spans="1:35"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row>
    <row r="67" spans="1:35"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row>
    <row r="68" spans="1:35"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row>
    <row r="69" spans="1:35"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row>
    <row r="70" spans="1:35"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row>
    <row r="71" spans="1:35"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row>
    <row r="72" spans="1:35"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row>
    <row r="73" spans="1:35"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row>
    <row r="74" spans="1:35"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row>
    <row r="75" spans="1:35"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row>
    <row r="76" spans="1:35"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row>
    <row r="77" spans="1:35"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row>
    <row r="78" spans="1:35"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row>
    <row r="79" spans="1:35"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row>
    <row r="80" spans="1:35"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row>
    <row r="81" spans="1:34"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row>
    <row r="82" spans="1:34"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row>
    <row r="83" spans="1:34"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row>
    <row r="84" spans="1:34"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row>
    <row r="85" spans="1:34"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row>
    <row r="86" spans="1:34"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row>
    <row r="87" spans="1:34"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row>
    <row r="88" spans="1:34"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row>
    <row r="89" spans="1:34"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row>
    <row r="90" spans="1:34"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row>
    <row r="91" spans="1:34"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row>
    <row r="92" spans="1:34"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row>
    <row r="93" spans="1:34"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row>
    <row r="94" spans="1:34"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row>
    <row r="95" spans="1:34"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row>
    <row r="96" spans="1:34"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row>
    <row r="97" spans="1:34"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row>
    <row r="98" spans="1:34"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row>
    <row r="99" spans="1:34"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row>
    <row r="100" spans="1:34"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row>
  </sheetData>
  <mergeCells count="11">
    <mergeCell ref="A55:AC55"/>
    <mergeCell ref="A51:AC51"/>
    <mergeCell ref="A52:AC52"/>
    <mergeCell ref="A53:AC53"/>
    <mergeCell ref="A54:AC54"/>
    <mergeCell ref="A1:AI6"/>
    <mergeCell ref="A56:AC56"/>
    <mergeCell ref="A57:AC57"/>
    <mergeCell ref="A58:AC58"/>
    <mergeCell ref="A59:AC59"/>
    <mergeCell ref="A60:AC6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2D48-FCB6-40C9-8715-8C4F1092F4CA}">
  <dimension ref="A3:B8"/>
  <sheetViews>
    <sheetView workbookViewId="0">
      <selection activeCell="B3" sqref="A3:B8"/>
    </sheetView>
  </sheetViews>
  <sheetFormatPr defaultRowHeight="14.4" x14ac:dyDescent="0.3"/>
  <cols>
    <col min="1" max="1" width="12.44140625" bestFit="1" customWidth="1"/>
    <col min="2" max="2" width="21.6640625" bestFit="1" customWidth="1"/>
  </cols>
  <sheetData>
    <row r="3" spans="1:2" x14ac:dyDescent="0.3">
      <c r="A3" s="9" t="s">
        <v>427</v>
      </c>
      <c r="B3" t="s">
        <v>429</v>
      </c>
    </row>
    <row r="4" spans="1:2" x14ac:dyDescent="0.3">
      <c r="A4" s="4" t="s">
        <v>32</v>
      </c>
      <c r="B4">
        <v>38</v>
      </c>
    </row>
    <row r="5" spans="1:2" x14ac:dyDescent="0.3">
      <c r="A5" s="4" t="s">
        <v>82</v>
      </c>
      <c r="B5">
        <v>40</v>
      </c>
    </row>
    <row r="6" spans="1:2" x14ac:dyDescent="0.3">
      <c r="A6" s="4" t="s">
        <v>22</v>
      </c>
      <c r="B6">
        <v>40</v>
      </c>
    </row>
    <row r="7" spans="1:2" x14ac:dyDescent="0.3">
      <c r="A7" s="4" t="s">
        <v>11</v>
      </c>
      <c r="B7">
        <v>39</v>
      </c>
    </row>
    <row r="8" spans="1:2" x14ac:dyDescent="0.3">
      <c r="A8" s="4" t="s">
        <v>428</v>
      </c>
      <c r="B8">
        <v>157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D9CF-5B2D-4C52-BD19-4C784A4D4A7C}">
  <dimension ref="A3:B9"/>
  <sheetViews>
    <sheetView workbookViewId="0">
      <selection activeCell="A3" sqref="A3:B9"/>
    </sheetView>
  </sheetViews>
  <sheetFormatPr defaultRowHeight="14.4" x14ac:dyDescent="0.3"/>
  <cols>
    <col min="1" max="1" width="12.44140625" bestFit="1" customWidth="1"/>
    <col min="2" max="2" width="21.6640625" bestFit="1" customWidth="1"/>
  </cols>
  <sheetData>
    <row r="3" spans="1:2" x14ac:dyDescent="0.3">
      <c r="A3" s="9" t="s">
        <v>427</v>
      </c>
      <c r="B3" t="s">
        <v>429</v>
      </c>
    </row>
    <row r="4" spans="1:2" x14ac:dyDescent="0.3">
      <c r="A4" s="4" t="s">
        <v>56</v>
      </c>
      <c r="B4" s="32">
        <v>34</v>
      </c>
    </row>
    <row r="5" spans="1:2" x14ac:dyDescent="0.3">
      <c r="A5" s="4" t="s">
        <v>31</v>
      </c>
      <c r="B5" s="32">
        <v>33</v>
      </c>
    </row>
    <row r="6" spans="1:2" x14ac:dyDescent="0.3">
      <c r="A6" s="4" t="s">
        <v>49</v>
      </c>
      <c r="B6" s="32">
        <v>23</v>
      </c>
    </row>
    <row r="7" spans="1:2" x14ac:dyDescent="0.3">
      <c r="A7" s="4" t="s">
        <v>76</v>
      </c>
      <c r="B7" s="32">
        <v>33</v>
      </c>
    </row>
    <row r="8" spans="1:2" x14ac:dyDescent="0.3">
      <c r="A8" s="4" t="s">
        <v>10</v>
      </c>
      <c r="B8" s="32">
        <v>34</v>
      </c>
    </row>
    <row r="9" spans="1:2" x14ac:dyDescent="0.3">
      <c r="A9" s="4" t="s">
        <v>428</v>
      </c>
      <c r="B9" s="32">
        <v>157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7A60-D5D0-4582-B750-C9FABEC1FE2B}">
  <dimension ref="A3:B14"/>
  <sheetViews>
    <sheetView workbookViewId="0">
      <selection activeCell="A3" sqref="A3:B14"/>
    </sheetView>
  </sheetViews>
  <sheetFormatPr defaultRowHeight="14.4" x14ac:dyDescent="0.3"/>
  <cols>
    <col min="1" max="1" width="12.44140625" bestFit="1" customWidth="1"/>
    <col min="2" max="2" width="21.6640625" bestFit="1" customWidth="1"/>
  </cols>
  <sheetData>
    <row r="3" spans="1:2" x14ac:dyDescent="0.3">
      <c r="A3" s="9" t="s">
        <v>427</v>
      </c>
      <c r="B3" t="s">
        <v>429</v>
      </c>
    </row>
    <row r="4" spans="1:2" x14ac:dyDescent="0.3">
      <c r="A4" s="4" t="s">
        <v>119</v>
      </c>
      <c r="B4" s="32">
        <v>18</v>
      </c>
    </row>
    <row r="5" spans="1:2" x14ac:dyDescent="0.3">
      <c r="A5" s="4" t="s">
        <v>97</v>
      </c>
      <c r="B5" s="32">
        <v>13</v>
      </c>
    </row>
    <row r="6" spans="1:2" x14ac:dyDescent="0.3">
      <c r="A6" s="4" t="s">
        <v>48</v>
      </c>
      <c r="B6" s="32">
        <v>15</v>
      </c>
    </row>
    <row r="7" spans="1:2" x14ac:dyDescent="0.3">
      <c r="A7" s="4" t="s">
        <v>21</v>
      </c>
      <c r="B7" s="32">
        <v>13</v>
      </c>
    </row>
    <row r="8" spans="1:2" x14ac:dyDescent="0.3">
      <c r="A8" s="4" t="s">
        <v>144</v>
      </c>
      <c r="B8" s="32">
        <v>22</v>
      </c>
    </row>
    <row r="9" spans="1:2" x14ac:dyDescent="0.3">
      <c r="A9" s="4" t="s">
        <v>40</v>
      </c>
      <c r="B9" s="32">
        <v>21</v>
      </c>
    </row>
    <row r="10" spans="1:2" x14ac:dyDescent="0.3">
      <c r="A10" s="4" t="s">
        <v>62</v>
      </c>
      <c r="B10" s="32">
        <v>10</v>
      </c>
    </row>
    <row r="11" spans="1:2" x14ac:dyDescent="0.3">
      <c r="A11" s="4" t="s">
        <v>112</v>
      </c>
      <c r="B11" s="32">
        <v>14</v>
      </c>
    </row>
    <row r="12" spans="1:2" x14ac:dyDescent="0.3">
      <c r="A12" s="4" t="s">
        <v>9</v>
      </c>
      <c r="B12" s="32">
        <v>17</v>
      </c>
    </row>
    <row r="13" spans="1:2" x14ac:dyDescent="0.3">
      <c r="A13" s="4" t="s">
        <v>69</v>
      </c>
      <c r="B13" s="32">
        <v>14</v>
      </c>
    </row>
    <row r="14" spans="1:2" x14ac:dyDescent="0.3">
      <c r="A14" s="4" t="s">
        <v>428</v>
      </c>
      <c r="B14" s="32">
        <v>157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9456-D1A4-4863-A5BD-0FC47147B1DC}">
  <dimension ref="A3:B13"/>
  <sheetViews>
    <sheetView workbookViewId="0">
      <selection activeCell="A3" sqref="A3:B16"/>
    </sheetView>
  </sheetViews>
  <sheetFormatPr defaultRowHeight="14.4" x14ac:dyDescent="0.3"/>
  <cols>
    <col min="1" max="1" width="12.44140625" bestFit="1" customWidth="1"/>
    <col min="2" max="2" width="21.6640625" bestFit="1" customWidth="1"/>
  </cols>
  <sheetData>
    <row r="3" spans="1:2" x14ac:dyDescent="0.3">
      <c r="A3" s="9" t="s">
        <v>427</v>
      </c>
      <c r="B3" t="s">
        <v>429</v>
      </c>
    </row>
    <row r="4" spans="1:2" x14ac:dyDescent="0.3">
      <c r="A4" s="4" t="s">
        <v>431</v>
      </c>
      <c r="B4" s="32">
        <v>20</v>
      </c>
    </row>
    <row r="5" spans="1:2" x14ac:dyDescent="0.3">
      <c r="A5" s="4" t="s">
        <v>432</v>
      </c>
      <c r="B5" s="32">
        <v>14</v>
      </c>
    </row>
    <row r="6" spans="1:2" x14ac:dyDescent="0.3">
      <c r="A6" s="4" t="s">
        <v>433</v>
      </c>
      <c r="B6" s="32">
        <v>19</v>
      </c>
    </row>
    <row r="7" spans="1:2" x14ac:dyDescent="0.3">
      <c r="A7" s="4" t="s">
        <v>434</v>
      </c>
      <c r="B7" s="32">
        <v>25</v>
      </c>
    </row>
    <row r="8" spans="1:2" x14ac:dyDescent="0.3">
      <c r="A8" s="4" t="s">
        <v>435</v>
      </c>
      <c r="B8" s="32">
        <v>19</v>
      </c>
    </row>
    <row r="9" spans="1:2" x14ac:dyDescent="0.3">
      <c r="A9" s="4" t="s">
        <v>436</v>
      </c>
      <c r="B9" s="32">
        <v>18</v>
      </c>
    </row>
    <row r="10" spans="1:2" x14ac:dyDescent="0.3">
      <c r="A10" s="4" t="s">
        <v>437</v>
      </c>
      <c r="B10" s="32">
        <v>16</v>
      </c>
    </row>
    <row r="11" spans="1:2" x14ac:dyDescent="0.3">
      <c r="A11" s="4" t="s">
        <v>438</v>
      </c>
      <c r="B11" s="32">
        <v>15</v>
      </c>
    </row>
    <row r="12" spans="1:2" x14ac:dyDescent="0.3">
      <c r="A12" s="4" t="s">
        <v>439</v>
      </c>
      <c r="B12" s="32">
        <v>11</v>
      </c>
    </row>
    <row r="13" spans="1:2" x14ac:dyDescent="0.3">
      <c r="A13" s="4" t="s">
        <v>428</v>
      </c>
      <c r="B13" s="32">
        <v>157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664E-0E9A-486C-A109-6AD6AFE9F7DF}">
  <sheetPr>
    <tabColor theme="6" tint="0.79998168889431442"/>
  </sheetPr>
  <dimension ref="C4:R60"/>
  <sheetViews>
    <sheetView workbookViewId="0">
      <selection activeCell="J11" sqref="J11"/>
    </sheetView>
  </sheetViews>
  <sheetFormatPr defaultRowHeight="14.4" x14ac:dyDescent="0.3"/>
  <sheetData>
    <row r="4" spans="3:18" x14ac:dyDescent="0.3">
      <c r="C4" s="29" t="s">
        <v>414</v>
      </c>
      <c r="D4" s="29"/>
      <c r="E4" s="29"/>
      <c r="F4" s="29"/>
      <c r="G4" s="29"/>
      <c r="H4" s="29"/>
      <c r="J4" s="29" t="s">
        <v>420</v>
      </c>
      <c r="K4" s="29"/>
      <c r="L4" s="29"/>
      <c r="M4" s="29"/>
      <c r="N4" s="29"/>
      <c r="O4" s="29"/>
    </row>
    <row r="5" spans="3:18" x14ac:dyDescent="0.3">
      <c r="C5" s="22" t="s">
        <v>415</v>
      </c>
      <c r="D5" s="22"/>
      <c r="E5" s="22"/>
      <c r="F5" s="22"/>
      <c r="G5" s="22"/>
      <c r="H5" s="22"/>
      <c r="J5" s="22" t="s">
        <v>421</v>
      </c>
      <c r="K5" s="22"/>
      <c r="L5" s="22"/>
      <c r="M5" s="22"/>
      <c r="N5" s="22"/>
      <c r="O5" s="22"/>
    </row>
    <row r="6" spans="3:18" x14ac:dyDescent="0.3">
      <c r="C6" s="22" t="s">
        <v>416</v>
      </c>
      <c r="D6" s="22"/>
      <c r="E6" s="22"/>
      <c r="F6" s="22"/>
      <c r="G6" s="22"/>
      <c r="H6" s="22"/>
      <c r="J6" s="22" t="s">
        <v>422</v>
      </c>
      <c r="K6" s="22"/>
      <c r="L6" s="22"/>
      <c r="M6" s="22"/>
      <c r="N6" s="22"/>
      <c r="O6" s="22"/>
    </row>
    <row r="7" spans="3:18" x14ac:dyDescent="0.3">
      <c r="C7" s="22" t="s">
        <v>417</v>
      </c>
      <c r="D7" s="22"/>
      <c r="E7" s="22"/>
      <c r="F7" s="22"/>
      <c r="G7" s="22"/>
      <c r="H7" s="22"/>
      <c r="J7" s="22" t="s">
        <v>423</v>
      </c>
      <c r="K7" s="22"/>
      <c r="L7" s="22"/>
      <c r="M7" s="22"/>
      <c r="N7" s="22"/>
      <c r="O7" s="22"/>
    </row>
    <row r="8" spans="3:18" x14ac:dyDescent="0.3">
      <c r="C8" s="22" t="s">
        <v>418</v>
      </c>
      <c r="D8" s="22"/>
      <c r="E8" s="22"/>
      <c r="F8" s="22"/>
      <c r="G8" s="22"/>
      <c r="H8" s="22"/>
      <c r="J8" s="22" t="s">
        <v>424</v>
      </c>
      <c r="K8" s="22"/>
      <c r="L8" s="22"/>
      <c r="M8" s="22"/>
      <c r="N8" s="22"/>
      <c r="O8" s="22"/>
    </row>
    <row r="9" spans="3:18" x14ac:dyDescent="0.3">
      <c r="C9" s="22" t="s">
        <v>419</v>
      </c>
      <c r="D9" s="22"/>
      <c r="E9" s="22"/>
      <c r="F9" s="22"/>
      <c r="G9" s="22"/>
      <c r="H9" s="22"/>
      <c r="J9" s="22" t="s">
        <v>425</v>
      </c>
      <c r="K9" s="22"/>
      <c r="L9" s="22"/>
      <c r="M9" s="22"/>
      <c r="N9" s="22"/>
      <c r="O9" s="22"/>
    </row>
    <row r="10" spans="3:18" x14ac:dyDescent="0.3">
      <c r="C10" s="22" t="s">
        <v>443</v>
      </c>
      <c r="D10" s="22"/>
      <c r="E10" s="22"/>
      <c r="F10" s="22"/>
      <c r="G10" s="22"/>
      <c r="H10" s="22"/>
      <c r="J10" s="22" t="s">
        <v>426</v>
      </c>
      <c r="K10" s="22"/>
      <c r="L10" s="22"/>
      <c r="M10" s="22"/>
      <c r="N10" s="22"/>
      <c r="O10" s="22"/>
    </row>
    <row r="11" spans="3:18" x14ac:dyDescent="0.3">
      <c r="C11" s="22" t="s">
        <v>445</v>
      </c>
      <c r="D11" s="22"/>
      <c r="E11" s="22"/>
      <c r="F11" s="22"/>
      <c r="G11" s="22"/>
      <c r="H11" s="22"/>
    </row>
    <row r="15" spans="3:18" x14ac:dyDescent="0.3">
      <c r="C15" s="29" t="s">
        <v>451</v>
      </c>
      <c r="D15" s="29"/>
      <c r="E15" s="29"/>
      <c r="F15" s="29"/>
      <c r="G15" s="29"/>
      <c r="H15" s="29"/>
      <c r="I15" s="29"/>
      <c r="J15" s="29"/>
      <c r="K15" s="29"/>
      <c r="L15" s="29"/>
      <c r="M15" s="29"/>
      <c r="N15" s="29"/>
      <c r="O15" s="29"/>
      <c r="P15" s="29"/>
      <c r="Q15" s="29"/>
      <c r="R15" s="29"/>
    </row>
    <row r="16" spans="3:18" ht="18" customHeight="1" x14ac:dyDescent="0.3">
      <c r="C16" s="31" t="s">
        <v>452</v>
      </c>
      <c r="D16" s="31"/>
      <c r="E16" s="31"/>
      <c r="F16" s="31"/>
      <c r="G16" s="31"/>
      <c r="H16" s="14"/>
      <c r="I16" s="14"/>
      <c r="J16" s="14"/>
      <c r="K16" s="14"/>
      <c r="L16" s="14"/>
      <c r="M16" s="14"/>
      <c r="N16" s="14"/>
      <c r="O16" s="14"/>
      <c r="P16" s="14"/>
      <c r="Q16" s="14"/>
      <c r="R16" s="14"/>
    </row>
    <row r="17" spans="3:18" ht="14.4" customHeight="1" x14ac:dyDescent="0.3">
      <c r="C17" s="15" t="s">
        <v>455</v>
      </c>
      <c r="D17" s="15"/>
      <c r="E17" s="15"/>
      <c r="F17" s="15"/>
      <c r="G17" s="15"/>
      <c r="H17" s="15"/>
      <c r="I17" s="15"/>
      <c r="J17" s="15"/>
      <c r="K17" s="15"/>
      <c r="L17" s="15"/>
      <c r="M17" s="15"/>
      <c r="N17" s="15"/>
      <c r="O17" s="15"/>
      <c r="P17" s="15"/>
      <c r="Q17" s="15"/>
      <c r="R17" s="15"/>
    </row>
    <row r="18" spans="3:18" ht="14.4" customHeight="1" x14ac:dyDescent="0.3">
      <c r="C18" t="s">
        <v>453</v>
      </c>
      <c r="D18" s="14"/>
      <c r="E18" s="14"/>
      <c r="F18" s="14"/>
      <c r="G18" s="14"/>
      <c r="H18" s="14"/>
      <c r="I18" s="14"/>
      <c r="J18" s="14"/>
      <c r="K18" s="14"/>
      <c r="L18" s="14"/>
      <c r="M18" s="14"/>
      <c r="N18" s="14"/>
      <c r="O18" s="14"/>
      <c r="P18" s="14"/>
      <c r="Q18" s="14"/>
      <c r="R18" s="14"/>
    </row>
    <row r="19" spans="3:18" ht="14.4" customHeight="1" x14ac:dyDescent="0.3">
      <c r="C19" s="16" t="s">
        <v>458</v>
      </c>
      <c r="D19" s="14"/>
      <c r="E19" s="14"/>
      <c r="F19" s="14"/>
      <c r="G19" s="14"/>
      <c r="H19" s="14"/>
      <c r="I19" s="14"/>
      <c r="J19" s="14"/>
      <c r="K19" s="14"/>
      <c r="L19" s="14"/>
      <c r="M19" s="14"/>
      <c r="N19" s="14"/>
      <c r="O19" s="14"/>
      <c r="P19" s="14"/>
      <c r="Q19" s="14"/>
      <c r="R19" s="14"/>
    </row>
    <row r="20" spans="3:18" ht="14.4" customHeight="1" x14ac:dyDescent="0.3">
      <c r="C20" s="17" t="s">
        <v>454</v>
      </c>
      <c r="D20" s="14"/>
      <c r="E20" s="14"/>
      <c r="F20" s="14"/>
      <c r="G20" s="14"/>
      <c r="H20" s="14"/>
      <c r="I20" s="14"/>
      <c r="J20" s="14"/>
      <c r="K20" s="14"/>
      <c r="L20" s="14"/>
      <c r="M20" s="14"/>
      <c r="N20" s="14"/>
      <c r="O20" s="14"/>
      <c r="P20" s="14"/>
      <c r="Q20" s="14"/>
      <c r="R20" s="14"/>
    </row>
    <row r="21" spans="3:18" ht="14.4" customHeight="1" x14ac:dyDescent="0.35">
      <c r="C21" s="30" t="s">
        <v>456</v>
      </c>
      <c r="D21" s="30"/>
      <c r="E21" s="30"/>
      <c r="F21" s="30"/>
      <c r="G21" s="30"/>
      <c r="H21" s="30"/>
      <c r="I21" s="14"/>
      <c r="J21" s="14"/>
      <c r="K21" s="14"/>
      <c r="L21" s="14"/>
      <c r="M21" s="14"/>
      <c r="N21" s="14"/>
      <c r="O21" s="14"/>
      <c r="P21" s="14"/>
      <c r="Q21" s="14"/>
      <c r="R21" s="14"/>
    </row>
    <row r="22" spans="3:18" ht="14.4" customHeight="1" x14ac:dyDescent="0.3">
      <c r="C22" s="15" t="s">
        <v>455</v>
      </c>
      <c r="D22" s="14"/>
      <c r="E22" s="14"/>
      <c r="F22" s="14"/>
      <c r="G22" s="14"/>
      <c r="H22" s="14"/>
      <c r="I22" s="14"/>
      <c r="J22" s="14"/>
      <c r="K22" s="14"/>
      <c r="L22" s="14"/>
      <c r="M22" s="14"/>
      <c r="N22" s="14"/>
      <c r="O22" s="14"/>
      <c r="P22" s="14"/>
      <c r="Q22" s="14"/>
      <c r="R22" s="14"/>
    </row>
    <row r="23" spans="3:18" ht="14.4" customHeight="1" x14ac:dyDescent="0.3">
      <c r="C23" t="s">
        <v>457</v>
      </c>
      <c r="D23" s="14"/>
      <c r="E23" s="14"/>
      <c r="F23" s="14"/>
      <c r="G23" s="14"/>
      <c r="H23" s="14"/>
      <c r="I23" s="14"/>
      <c r="J23" s="14"/>
      <c r="K23" s="14"/>
      <c r="L23" s="14"/>
      <c r="M23" s="14"/>
      <c r="N23" s="14"/>
      <c r="O23" s="14"/>
      <c r="P23" s="14"/>
      <c r="Q23" s="14"/>
      <c r="R23" s="14"/>
    </row>
    <row r="24" spans="3:18" ht="14.4" customHeight="1" x14ac:dyDescent="0.3">
      <c r="C24" s="16" t="s">
        <v>458</v>
      </c>
      <c r="D24" s="14"/>
      <c r="E24" s="14"/>
      <c r="F24" s="14"/>
      <c r="G24" s="14"/>
      <c r="H24" s="14"/>
      <c r="I24" s="14"/>
      <c r="J24" s="14"/>
      <c r="K24" s="14"/>
      <c r="L24" s="14"/>
      <c r="M24" s="14"/>
      <c r="N24" s="14"/>
      <c r="O24" s="14"/>
      <c r="P24" s="14"/>
      <c r="Q24" s="14"/>
      <c r="R24" s="14"/>
    </row>
    <row r="25" spans="3:18" ht="14.4" customHeight="1" x14ac:dyDescent="0.3">
      <c r="C25" t="s">
        <v>459</v>
      </c>
      <c r="D25" s="14"/>
      <c r="E25" s="14"/>
      <c r="F25" s="14"/>
      <c r="G25" s="14"/>
      <c r="H25" s="14"/>
      <c r="I25" s="14"/>
      <c r="J25" s="14"/>
      <c r="K25" s="14"/>
      <c r="L25" s="14"/>
      <c r="M25" s="14"/>
      <c r="N25" s="14"/>
      <c r="O25" s="14"/>
      <c r="P25" s="14"/>
      <c r="Q25" s="14"/>
      <c r="R25" s="14"/>
    </row>
    <row r="26" spans="3:18" ht="14.4" customHeight="1" x14ac:dyDescent="0.3">
      <c r="C26" t="s">
        <v>460</v>
      </c>
      <c r="D26" s="14"/>
      <c r="E26" s="14"/>
      <c r="F26" s="14"/>
      <c r="G26" s="14"/>
      <c r="H26" s="14"/>
      <c r="I26" s="14"/>
      <c r="J26" s="14"/>
      <c r="K26" s="14"/>
      <c r="L26" s="14"/>
      <c r="M26" s="14"/>
      <c r="N26" s="14"/>
      <c r="O26" s="14"/>
      <c r="P26" s="14"/>
      <c r="Q26" s="14"/>
      <c r="R26" s="14"/>
    </row>
    <row r="27" spans="3:18" ht="14.4" customHeight="1" x14ac:dyDescent="0.3">
      <c r="C27" t="s">
        <v>461</v>
      </c>
      <c r="D27" s="14"/>
      <c r="E27" s="14"/>
      <c r="F27" s="14"/>
      <c r="G27" s="14"/>
      <c r="H27" s="14"/>
      <c r="I27" s="14"/>
      <c r="J27" s="14"/>
      <c r="K27" s="14"/>
      <c r="L27" s="14"/>
      <c r="M27" s="14"/>
      <c r="N27" s="14"/>
      <c r="O27" s="14"/>
      <c r="P27" s="14"/>
      <c r="Q27" s="14"/>
      <c r="R27" s="14"/>
    </row>
    <row r="28" spans="3:18" ht="14.4" customHeight="1" x14ac:dyDescent="0.3">
      <c r="C28" t="s">
        <v>462</v>
      </c>
      <c r="D28" s="14"/>
      <c r="E28" s="14"/>
      <c r="F28" s="14"/>
      <c r="G28" s="14"/>
      <c r="H28" s="14"/>
      <c r="I28" s="14"/>
      <c r="J28" s="14"/>
      <c r="K28" s="14"/>
      <c r="L28" s="14"/>
      <c r="M28" s="14"/>
      <c r="N28" s="14"/>
      <c r="O28" s="14"/>
      <c r="P28" s="14"/>
      <c r="Q28" s="14"/>
      <c r="R28" s="14"/>
    </row>
    <row r="29" spans="3:18" ht="14.4" customHeight="1" x14ac:dyDescent="0.35">
      <c r="C29" s="30" t="s">
        <v>463</v>
      </c>
      <c r="D29" s="30"/>
      <c r="E29" s="30"/>
      <c r="F29" s="30"/>
      <c r="G29" s="30"/>
      <c r="H29" s="30"/>
      <c r="I29" s="14"/>
      <c r="J29" s="14"/>
      <c r="K29" s="14"/>
      <c r="L29" s="14"/>
      <c r="M29" s="14"/>
      <c r="N29" s="14"/>
      <c r="O29" s="14"/>
      <c r="P29" s="14"/>
      <c r="Q29" s="14"/>
      <c r="R29" s="14"/>
    </row>
    <row r="30" spans="3:18" ht="14.4" customHeight="1" x14ac:dyDescent="0.3">
      <c r="C30" s="15" t="s">
        <v>455</v>
      </c>
      <c r="D30" s="14"/>
      <c r="E30" s="14"/>
      <c r="F30" s="14"/>
      <c r="G30" s="14"/>
      <c r="H30" s="14"/>
      <c r="I30" s="14"/>
      <c r="J30" s="14"/>
      <c r="K30" s="14"/>
      <c r="L30" s="14"/>
      <c r="M30" s="14"/>
      <c r="N30" s="14"/>
      <c r="O30" s="14"/>
      <c r="P30" s="14"/>
      <c r="Q30" s="14"/>
      <c r="R30" s="14"/>
    </row>
    <row r="31" spans="3:18" ht="14.4" customHeight="1" x14ac:dyDescent="0.3">
      <c r="C31" t="s">
        <v>464</v>
      </c>
      <c r="D31" s="14"/>
      <c r="E31" s="14"/>
      <c r="F31" s="14"/>
      <c r="G31" s="14"/>
      <c r="H31" s="14"/>
      <c r="I31" s="14"/>
      <c r="J31" s="14"/>
      <c r="K31" s="14"/>
      <c r="L31" s="14"/>
      <c r="M31" s="14"/>
      <c r="N31" s="14"/>
      <c r="O31" s="14"/>
      <c r="P31" s="14"/>
      <c r="Q31" s="14"/>
      <c r="R31" s="14"/>
    </row>
    <row r="32" spans="3:18" ht="14.4" customHeight="1" x14ac:dyDescent="0.3">
      <c r="C32" s="16" t="s">
        <v>458</v>
      </c>
      <c r="D32" s="14"/>
      <c r="E32" s="14"/>
      <c r="F32" s="14"/>
      <c r="G32" s="14"/>
      <c r="H32" s="14"/>
      <c r="I32" s="14"/>
      <c r="J32" s="14"/>
      <c r="K32" s="14"/>
      <c r="L32" s="14"/>
      <c r="M32" s="14"/>
      <c r="N32" s="14"/>
      <c r="O32" s="14"/>
      <c r="P32" s="14"/>
      <c r="Q32" s="14"/>
      <c r="R32" s="14"/>
    </row>
    <row r="33" spans="3:18" ht="14.4" customHeight="1" x14ac:dyDescent="0.3">
      <c r="C33" t="s">
        <v>465</v>
      </c>
      <c r="D33" s="14"/>
      <c r="E33" s="14"/>
      <c r="F33" s="14"/>
      <c r="G33" s="14"/>
      <c r="H33" s="14"/>
      <c r="I33" s="14"/>
      <c r="J33" s="14"/>
      <c r="K33" s="14"/>
      <c r="L33" s="14"/>
      <c r="M33" s="14"/>
      <c r="N33" s="14"/>
      <c r="O33" s="14"/>
      <c r="P33" s="14"/>
      <c r="Q33" s="14"/>
      <c r="R33" s="14"/>
    </row>
    <row r="34" spans="3:18" ht="14.4" customHeight="1" x14ac:dyDescent="0.35">
      <c r="C34" s="30" t="s">
        <v>466</v>
      </c>
      <c r="D34" s="30"/>
      <c r="E34" s="30"/>
      <c r="F34" s="30"/>
      <c r="G34" s="14"/>
      <c r="H34" s="14"/>
      <c r="I34" s="14"/>
      <c r="J34" s="14"/>
      <c r="K34" s="14"/>
      <c r="L34" s="14"/>
      <c r="M34" s="14"/>
      <c r="N34" s="14"/>
      <c r="O34" s="14"/>
      <c r="P34" s="14"/>
      <c r="Q34" s="14"/>
      <c r="R34" s="14"/>
    </row>
    <row r="35" spans="3:18" ht="14.4" customHeight="1" x14ac:dyDescent="0.3">
      <c r="C35" s="15" t="s">
        <v>455</v>
      </c>
      <c r="D35" s="14"/>
      <c r="E35" s="14"/>
      <c r="F35" s="14"/>
      <c r="G35" s="14"/>
      <c r="H35" s="14"/>
      <c r="I35" s="14"/>
      <c r="J35" s="14"/>
      <c r="K35" s="14"/>
      <c r="L35" s="14"/>
      <c r="M35" s="14"/>
      <c r="N35" s="14"/>
      <c r="O35" s="14"/>
      <c r="P35" s="14"/>
      <c r="Q35" s="14"/>
      <c r="R35" s="14"/>
    </row>
    <row r="36" spans="3:18" ht="14.4" customHeight="1" x14ac:dyDescent="0.3">
      <c r="C36" t="s">
        <v>467</v>
      </c>
      <c r="D36" s="14"/>
      <c r="E36" s="14"/>
      <c r="F36" s="14"/>
      <c r="G36" s="14"/>
      <c r="H36" s="14"/>
      <c r="I36" s="14"/>
      <c r="J36" s="14"/>
      <c r="K36" s="14"/>
      <c r="L36" s="14"/>
      <c r="M36" s="14"/>
      <c r="N36" s="14"/>
      <c r="O36" s="14"/>
      <c r="P36" s="14"/>
      <c r="Q36" s="14"/>
      <c r="R36" s="14"/>
    </row>
    <row r="37" spans="3:18" ht="14.4" customHeight="1" x14ac:dyDescent="0.3">
      <c r="C37" s="16" t="s">
        <v>458</v>
      </c>
      <c r="D37" s="14"/>
      <c r="E37" s="14"/>
      <c r="F37" s="14"/>
      <c r="G37" s="14"/>
      <c r="H37" s="14"/>
      <c r="I37" s="14"/>
      <c r="J37" s="14"/>
      <c r="K37" s="14"/>
      <c r="L37" s="14"/>
      <c r="M37" s="14"/>
      <c r="N37" s="14"/>
      <c r="O37" s="14"/>
      <c r="P37" s="14"/>
      <c r="Q37" s="14"/>
      <c r="R37" s="14"/>
    </row>
    <row r="38" spans="3:18" ht="14.4" customHeight="1" x14ac:dyDescent="0.3">
      <c r="C38" s="17" t="s">
        <v>468</v>
      </c>
      <c r="D38" s="14"/>
      <c r="E38" s="14"/>
      <c r="F38" s="14"/>
      <c r="G38" s="14"/>
      <c r="H38" s="14"/>
      <c r="I38" s="14"/>
      <c r="J38" s="14"/>
      <c r="K38" s="14"/>
      <c r="L38" s="14"/>
      <c r="M38" s="14"/>
      <c r="N38" s="14"/>
      <c r="O38" s="14"/>
      <c r="P38" s="14"/>
      <c r="Q38" s="14"/>
      <c r="R38" s="14"/>
    </row>
    <row r="39" spans="3:18" ht="14.4" customHeight="1" x14ac:dyDescent="0.35">
      <c r="C39" s="30" t="s">
        <v>469</v>
      </c>
      <c r="D39" s="30"/>
      <c r="E39" s="30"/>
      <c r="F39" s="30"/>
      <c r="G39" s="30"/>
      <c r="H39" s="30"/>
      <c r="I39" s="14"/>
      <c r="J39" s="14"/>
      <c r="K39" s="14"/>
      <c r="L39" s="14"/>
      <c r="M39" s="14"/>
      <c r="N39" s="14"/>
      <c r="O39" s="14"/>
      <c r="P39" s="14"/>
      <c r="Q39" s="14"/>
      <c r="R39" s="14"/>
    </row>
    <row r="40" spans="3:18" ht="14.4" customHeight="1" x14ac:dyDescent="0.3">
      <c r="C40" s="15" t="s">
        <v>455</v>
      </c>
      <c r="D40" s="14"/>
      <c r="E40" s="14"/>
      <c r="F40" s="14"/>
      <c r="G40" s="14"/>
      <c r="H40" s="14"/>
      <c r="I40" s="14"/>
      <c r="J40" s="14"/>
      <c r="K40" s="14"/>
      <c r="L40" s="14"/>
      <c r="M40" s="14"/>
      <c r="N40" s="14"/>
      <c r="O40" s="14"/>
      <c r="P40" s="14"/>
      <c r="Q40" s="14"/>
      <c r="R40" s="14"/>
    </row>
    <row r="41" spans="3:18" x14ac:dyDescent="0.3">
      <c r="C41" t="s">
        <v>470</v>
      </c>
    </row>
    <row r="42" spans="3:18" ht="15.6" x14ac:dyDescent="0.3">
      <c r="C42" s="16" t="s">
        <v>458</v>
      </c>
    </row>
    <row r="43" spans="3:18" x14ac:dyDescent="0.3">
      <c r="C43" t="s">
        <v>471</v>
      </c>
    </row>
    <row r="44" spans="3:18" ht="18" x14ac:dyDescent="0.35">
      <c r="C44" s="30" t="s">
        <v>472</v>
      </c>
      <c r="D44" s="30"/>
      <c r="E44" s="30"/>
      <c r="F44" s="30"/>
      <c r="G44" s="30"/>
      <c r="H44" s="30"/>
    </row>
    <row r="45" spans="3:18" ht="15.6" x14ac:dyDescent="0.3">
      <c r="C45" s="15" t="s">
        <v>455</v>
      </c>
    </row>
    <row r="46" spans="3:18" x14ac:dyDescent="0.3">
      <c r="C46" t="s">
        <v>473</v>
      </c>
    </row>
    <row r="47" spans="3:18" ht="15.6" x14ac:dyDescent="0.3">
      <c r="C47" s="16" t="s">
        <v>458</v>
      </c>
    </row>
    <row r="48" spans="3:18" x14ac:dyDescent="0.3">
      <c r="C48" t="s">
        <v>474</v>
      </c>
    </row>
    <row r="52" spans="3:14" x14ac:dyDescent="0.3">
      <c r="C52" s="28" t="s">
        <v>475</v>
      </c>
      <c r="D52" s="28"/>
      <c r="E52" s="28"/>
      <c r="F52" s="28"/>
      <c r="G52" s="28"/>
      <c r="H52" s="28"/>
      <c r="I52" s="28"/>
      <c r="J52" s="28"/>
      <c r="K52" s="28"/>
      <c r="L52" s="28"/>
      <c r="M52" s="28"/>
      <c r="N52" s="28"/>
    </row>
    <row r="53" spans="3:14" x14ac:dyDescent="0.3">
      <c r="C53" s="27"/>
      <c r="D53" s="27"/>
      <c r="E53" s="27"/>
      <c r="F53" s="27"/>
      <c r="G53" s="27"/>
      <c r="H53" s="27"/>
      <c r="I53" s="27"/>
      <c r="J53" s="27"/>
      <c r="K53" s="27"/>
      <c r="L53" s="27"/>
      <c r="M53" s="27"/>
      <c r="N53" s="27"/>
    </row>
    <row r="54" spans="3:14" x14ac:dyDescent="0.3">
      <c r="C54" s="28" t="s">
        <v>476</v>
      </c>
      <c r="D54" s="28"/>
      <c r="E54" s="28"/>
      <c r="F54" s="28"/>
      <c r="G54" s="28"/>
      <c r="H54" s="28"/>
      <c r="I54" s="28"/>
      <c r="J54" s="28"/>
      <c r="K54" s="28"/>
      <c r="L54" s="28"/>
      <c r="M54" s="28"/>
      <c r="N54" s="28"/>
    </row>
    <row r="55" spans="3:14" x14ac:dyDescent="0.3">
      <c r="C55" s="27"/>
      <c r="D55" s="27"/>
      <c r="E55" s="27"/>
      <c r="F55" s="27"/>
      <c r="G55" s="27"/>
      <c r="H55" s="27"/>
      <c r="I55" s="27"/>
      <c r="J55" s="27"/>
      <c r="K55" s="27"/>
      <c r="L55" s="27"/>
      <c r="M55" s="27"/>
      <c r="N55" s="27"/>
    </row>
    <row r="56" spans="3:14" x14ac:dyDescent="0.3">
      <c r="C56" s="28" t="s">
        <v>477</v>
      </c>
      <c r="D56" s="28"/>
      <c r="E56" s="28"/>
      <c r="F56" s="28"/>
      <c r="G56" s="28"/>
      <c r="H56" s="28"/>
      <c r="I56" s="28"/>
      <c r="J56" s="28"/>
      <c r="K56" s="28"/>
      <c r="L56" s="28"/>
      <c r="M56" s="28"/>
      <c r="N56" s="28"/>
    </row>
    <row r="57" spans="3:14" x14ac:dyDescent="0.3">
      <c r="C57" s="27"/>
      <c r="D57" s="27"/>
      <c r="E57" s="27"/>
      <c r="F57" s="27"/>
      <c r="G57" s="27"/>
      <c r="H57" s="27"/>
      <c r="I57" s="27"/>
      <c r="J57" s="27"/>
      <c r="K57" s="27"/>
      <c r="L57" s="27"/>
      <c r="M57" s="27"/>
      <c r="N57" s="27"/>
    </row>
    <row r="58" spans="3:14" x14ac:dyDescent="0.3">
      <c r="C58" s="28" t="s">
        <v>478</v>
      </c>
      <c r="D58" s="28"/>
      <c r="E58" s="28"/>
      <c r="F58" s="28"/>
      <c r="G58" s="28"/>
      <c r="H58" s="28"/>
      <c r="I58" s="28"/>
      <c r="J58" s="28"/>
      <c r="K58" s="28"/>
      <c r="L58" s="28"/>
      <c r="M58" s="28"/>
      <c r="N58" s="28"/>
    </row>
    <row r="59" spans="3:14" x14ac:dyDescent="0.3">
      <c r="C59" s="27"/>
      <c r="D59" s="27"/>
      <c r="E59" s="27"/>
      <c r="F59" s="27"/>
      <c r="G59" s="27"/>
      <c r="H59" s="27"/>
      <c r="I59" s="27"/>
      <c r="J59" s="27"/>
      <c r="K59" s="27"/>
      <c r="L59" s="27"/>
      <c r="M59" s="27"/>
      <c r="N59" s="27"/>
    </row>
    <row r="60" spans="3:14" x14ac:dyDescent="0.3">
      <c r="C60" s="28" t="s">
        <v>479</v>
      </c>
      <c r="D60" s="28"/>
      <c r="E60" s="28"/>
      <c r="F60" s="28"/>
      <c r="G60" s="28"/>
      <c r="H60" s="28"/>
      <c r="I60" s="28"/>
      <c r="J60" s="28"/>
      <c r="K60" s="28"/>
      <c r="L60" s="28"/>
      <c r="M60" s="28"/>
      <c r="N60" s="28"/>
    </row>
  </sheetData>
  <mergeCells count="31">
    <mergeCell ref="C9:H9"/>
    <mergeCell ref="C10:H10"/>
    <mergeCell ref="C11:H11"/>
    <mergeCell ref="C4:H4"/>
    <mergeCell ref="C5:H5"/>
    <mergeCell ref="C6:H6"/>
    <mergeCell ref="C7:H7"/>
    <mergeCell ref="C8:H8"/>
    <mergeCell ref="J10:O10"/>
    <mergeCell ref="J4:O4"/>
    <mergeCell ref="J5:O5"/>
    <mergeCell ref="J6:O6"/>
    <mergeCell ref="J7:O7"/>
    <mergeCell ref="J8:O8"/>
    <mergeCell ref="J9:O9"/>
    <mergeCell ref="C52:N52"/>
    <mergeCell ref="C53:N53"/>
    <mergeCell ref="C54:N54"/>
    <mergeCell ref="C55:N55"/>
    <mergeCell ref="C15:R15"/>
    <mergeCell ref="C44:H44"/>
    <mergeCell ref="C16:G16"/>
    <mergeCell ref="C21:H21"/>
    <mergeCell ref="C29:H29"/>
    <mergeCell ref="C34:F34"/>
    <mergeCell ref="C39:H39"/>
    <mergeCell ref="C57:N57"/>
    <mergeCell ref="C56:N56"/>
    <mergeCell ref="C58:N58"/>
    <mergeCell ref="C59:N59"/>
    <mergeCell ref="C60:N6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E83C-CC45-41EB-AB6A-245D82271700}">
  <dimension ref="A3:B7"/>
  <sheetViews>
    <sheetView workbookViewId="0">
      <selection activeCell="A3" sqref="A3"/>
    </sheetView>
  </sheetViews>
  <sheetFormatPr defaultRowHeight="14.4" x14ac:dyDescent="0.3"/>
  <cols>
    <col min="1" max="1" width="12.88671875" bestFit="1" customWidth="1"/>
    <col min="2" max="2" width="21.6640625" bestFit="1" customWidth="1"/>
  </cols>
  <sheetData>
    <row r="3" spans="1:2" x14ac:dyDescent="0.3">
      <c r="A3" s="9" t="s">
        <v>427</v>
      </c>
      <c r="B3" t="s">
        <v>429</v>
      </c>
    </row>
    <row r="4" spans="1:2" x14ac:dyDescent="0.3">
      <c r="A4" s="4" t="s">
        <v>483</v>
      </c>
      <c r="B4">
        <v>60</v>
      </c>
    </row>
    <row r="5" spans="1:2" x14ac:dyDescent="0.3">
      <c r="A5" s="4" t="s">
        <v>484</v>
      </c>
      <c r="B5">
        <v>51</v>
      </c>
    </row>
    <row r="6" spans="1:2" x14ac:dyDescent="0.3">
      <c r="A6" s="4" t="s">
        <v>485</v>
      </c>
      <c r="B6">
        <v>89</v>
      </c>
    </row>
    <row r="7" spans="1:2" x14ac:dyDescent="0.3">
      <c r="A7" s="4" t="s">
        <v>428</v>
      </c>
      <c r="B7">
        <v>200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4072-06CF-445E-8B41-A6B63A370E4D}">
  <dimension ref="A3:B8"/>
  <sheetViews>
    <sheetView workbookViewId="0">
      <selection activeCell="A3" sqref="A3:B8"/>
    </sheetView>
  </sheetViews>
  <sheetFormatPr defaultRowHeight="14.4" x14ac:dyDescent="0.3"/>
  <cols>
    <col min="1" max="1" width="12.44140625" bestFit="1" customWidth="1"/>
    <col min="2" max="2" width="16.6640625" bestFit="1" customWidth="1"/>
  </cols>
  <sheetData>
    <row r="3" spans="1:2" x14ac:dyDescent="0.3">
      <c r="A3" s="9" t="s">
        <v>427</v>
      </c>
      <c r="B3" t="s">
        <v>446</v>
      </c>
    </row>
    <row r="4" spans="1:2" x14ac:dyDescent="0.3">
      <c r="A4" s="4" t="s">
        <v>43</v>
      </c>
      <c r="B4" s="11">
        <v>0.11</v>
      </c>
    </row>
    <row r="5" spans="1:2" x14ac:dyDescent="0.3">
      <c r="A5" s="4" t="s">
        <v>26</v>
      </c>
      <c r="B5" s="11">
        <v>0.42</v>
      </c>
    </row>
    <row r="6" spans="1:2" x14ac:dyDescent="0.3">
      <c r="A6" s="4" t="s">
        <v>35</v>
      </c>
      <c r="B6" s="11">
        <v>0.18</v>
      </c>
    </row>
    <row r="7" spans="1:2" x14ac:dyDescent="0.3">
      <c r="A7" s="4" t="s">
        <v>16</v>
      </c>
      <c r="B7" s="11">
        <v>0.28999999999999998</v>
      </c>
    </row>
    <row r="8" spans="1:2" x14ac:dyDescent="0.3">
      <c r="A8" s="4" t="s">
        <v>428</v>
      </c>
      <c r="B8" s="11">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DATA</vt:lpstr>
      <vt:lpstr>Sheet1</vt:lpstr>
      <vt:lpstr>Sheet2</vt:lpstr>
      <vt:lpstr>CLEANED DATA</vt:lpstr>
      <vt:lpstr>1</vt:lpstr>
      <vt:lpstr>CHANGELOG</vt:lpstr>
      <vt:lpstr>CHARTS</vt:lpstr>
      <vt:lpstr>ANALYSIS</vt:lpstr>
      <vt:lpstr>DASHBOARD</vt:lpstr>
      <vt:lpstr>2</vt:lpstr>
      <vt:lpstr>3</vt:lpstr>
      <vt:lpstr>4</vt:lpstr>
      <vt:lpstr>5</vt:lpstr>
      <vt:lpstr>INSIGHTS</vt:lpstr>
      <vt:lpstr>6</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SHEMIL SHA</dc:creator>
  <cp:lastModifiedBy>SHEMIL SHA</cp:lastModifiedBy>
  <dcterms:created xsi:type="dcterms:W3CDTF">2026-09-12T05:06:02Z</dcterms:created>
  <dcterms:modified xsi:type="dcterms:W3CDTF">2026-09-21T06:47:38Z</dcterms:modified>
</cp:coreProperties>
</file>